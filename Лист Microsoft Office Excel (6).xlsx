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73" i="1" l="1"/>
  <c r="D74" i="1"/>
  <c r="D75" i="1"/>
  <c r="D76" i="1"/>
  <c r="D77" i="1"/>
  <c r="D78" i="1"/>
  <c r="D72" i="1"/>
  <c r="D51" i="1"/>
  <c r="D52" i="1"/>
  <c r="D53" i="1"/>
  <c r="D54" i="1"/>
  <c r="D55" i="1"/>
  <c r="D56" i="1"/>
  <c r="D50" i="1"/>
  <c r="D29" i="1"/>
  <c r="D30" i="1"/>
  <c r="D31" i="1"/>
  <c r="D32" i="1"/>
  <c r="D33" i="1"/>
  <c r="D34" i="1"/>
  <c r="D28" i="1"/>
  <c r="C29" i="1"/>
  <c r="C30" i="1"/>
  <c r="C31" i="1"/>
  <c r="C32" i="1"/>
  <c r="C33" i="1"/>
  <c r="C34" i="1"/>
  <c r="C28" i="1"/>
  <c r="D3" i="1"/>
  <c r="D4" i="1"/>
  <c r="D5" i="1"/>
  <c r="D6" i="1"/>
  <c r="D7" i="1"/>
  <c r="D8" i="1"/>
  <c r="D9" i="1"/>
  <c r="D10" i="1"/>
  <c r="D11" i="1"/>
  <c r="D12" i="1"/>
  <c r="D13" i="1"/>
  <c r="D2" i="1"/>
  <c r="C2" i="1"/>
  <c r="C51" i="1" l="1"/>
  <c r="C52" i="1"/>
  <c r="C53" i="1"/>
  <c r="C54" i="1"/>
  <c r="C55" i="1"/>
  <c r="C56" i="1"/>
  <c r="C50" i="1"/>
  <c r="C73" i="1"/>
  <c r="C74" i="1"/>
  <c r="C75" i="1"/>
  <c r="C76" i="1"/>
  <c r="C77" i="1"/>
  <c r="C78" i="1"/>
  <c r="C72" i="1"/>
  <c r="C3" i="1"/>
  <c r="C4" i="1"/>
  <c r="C5" i="1"/>
  <c r="C7" i="1"/>
  <c r="C8" i="1"/>
  <c r="C9" i="1"/>
  <c r="C11" i="1"/>
  <c r="C12" i="1"/>
  <c r="A13" i="1"/>
  <c r="C13" i="1" s="1"/>
  <c r="A10" i="1"/>
  <c r="C10" i="1" s="1"/>
  <c r="A6" i="1"/>
  <c r="C6" i="1" s="1"/>
  <c r="A5" i="1"/>
</calcChain>
</file>

<file path=xl/sharedStrings.xml><?xml version="1.0" encoding="utf-8"?>
<sst xmlns="http://schemas.openxmlformats.org/spreadsheetml/2006/main" count="16" uniqueCount="5">
  <si>
    <t>Uвых, В</t>
  </si>
  <si>
    <t>f, кГц</t>
  </si>
  <si>
    <t xml:space="preserve">K = Uвых/U </t>
  </si>
  <si>
    <t>K = Uвых/U</t>
  </si>
  <si>
    <t>Kном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</si>
</sst>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ru-RU" sz="1600"/>
              <a:t>АЧХ для последовательного аналогового ключа на диодах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Sheet1!$B$2:$B$13</c:f>
              <c:numCache>
                <c:formatCode>General</c:formatCode>
                <c:ptCount val="12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700</c:v>
                </c:pt>
                <c:pt idx="9">
                  <c:v>800</c:v>
                </c:pt>
                <c:pt idx="10">
                  <c:v>900</c:v>
                </c:pt>
                <c:pt idx="11">
                  <c:v>1000</c:v>
                </c:pt>
              </c:numCache>
            </c:numRef>
          </c:xVal>
          <c:yVal>
            <c:numRef>
              <c:f>Sheet1!$D$2:$D$13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0.88636363636363635</c:v>
                </c:pt>
                <c:pt idx="4">
                  <c:v>0.81818181818181812</c:v>
                </c:pt>
                <c:pt idx="5">
                  <c:v>0.68181818181818177</c:v>
                </c:pt>
                <c:pt idx="6">
                  <c:v>0.56818181818181823</c:v>
                </c:pt>
                <c:pt idx="7">
                  <c:v>0.5</c:v>
                </c:pt>
                <c:pt idx="8">
                  <c:v>0.43181818181818182</c:v>
                </c:pt>
                <c:pt idx="9">
                  <c:v>0.38636363636363641</c:v>
                </c:pt>
                <c:pt idx="10">
                  <c:v>0.36363636363636365</c:v>
                </c:pt>
                <c:pt idx="11">
                  <c:v>0.31818181818181823</c:v>
                </c:pt>
              </c:numCache>
            </c:numRef>
          </c:yVal>
          <c:smooth val="1"/>
        </c:ser>
        <c:ser>
          <c:idx val="1"/>
          <c:order val="1"/>
          <c:xVal>
            <c:numLit>
              <c:formatCode>General</c:formatCode>
              <c:ptCount val="2"/>
              <c:pt idx="0">
                <c:v>1</c:v>
              </c:pt>
              <c:pt idx="1">
                <c:v>1000</c:v>
              </c:pt>
            </c:numLit>
          </c:xVal>
          <c:yVal>
            <c:numRef>
              <c:f>Sheet1!$E$2:$E$13</c:f>
              <c:numCache>
                <c:formatCode>General</c:formatCode>
                <c:ptCount val="12"/>
                <c:pt idx="0">
                  <c:v>0.70699999999999996</c:v>
                </c:pt>
                <c:pt idx="1">
                  <c:v>0.70699999999999996</c:v>
                </c:pt>
                <c:pt idx="2">
                  <c:v>0.70699999999999996</c:v>
                </c:pt>
                <c:pt idx="3">
                  <c:v>0.70699999999999996</c:v>
                </c:pt>
                <c:pt idx="4">
                  <c:v>0.70699999999999996</c:v>
                </c:pt>
                <c:pt idx="5">
                  <c:v>0.70699999999999996</c:v>
                </c:pt>
                <c:pt idx="6">
                  <c:v>0.70699999999999996</c:v>
                </c:pt>
                <c:pt idx="7">
                  <c:v>0.70699999999999996</c:v>
                </c:pt>
                <c:pt idx="8">
                  <c:v>0.70699999999999996</c:v>
                </c:pt>
                <c:pt idx="9">
                  <c:v>0.70699999999999996</c:v>
                </c:pt>
                <c:pt idx="10">
                  <c:v>0.70699999999999996</c:v>
                </c:pt>
                <c:pt idx="11">
                  <c:v>0.70699999999999996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53856"/>
        <c:axId val="210155776"/>
      </c:scatterChart>
      <c:valAx>
        <c:axId val="210153856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f, </a:t>
                </a:r>
                <a:r>
                  <a:rPr lang="ru-RU"/>
                  <a:t>кГц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0155776"/>
        <c:crosses val="autoZero"/>
        <c:crossBetween val="midCat"/>
      </c:valAx>
      <c:valAx>
        <c:axId val="210155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01538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АЧХ для параллельного ключа на биполярном транзисторе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Sheet1!$B$28:$B$34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80</c:v>
                </c:pt>
                <c:pt idx="5">
                  <c:v>100</c:v>
                </c:pt>
                <c:pt idx="6">
                  <c:v>200</c:v>
                </c:pt>
              </c:numCache>
            </c:numRef>
          </c:xVal>
          <c:yVal>
            <c:numRef>
              <c:f>Sheet1!$D$28:$D$34</c:f>
              <c:numCache>
                <c:formatCode>General</c:formatCode>
                <c:ptCount val="7"/>
                <c:pt idx="0">
                  <c:v>1</c:v>
                </c:pt>
                <c:pt idx="1">
                  <c:v>0.98</c:v>
                </c:pt>
                <c:pt idx="2">
                  <c:v>0.84</c:v>
                </c:pt>
                <c:pt idx="3">
                  <c:v>0.8</c:v>
                </c:pt>
                <c:pt idx="4">
                  <c:v>0.64</c:v>
                </c:pt>
                <c:pt idx="5">
                  <c:v>0.57999999999999996</c:v>
                </c:pt>
                <c:pt idx="6">
                  <c:v>0.34</c:v>
                </c:pt>
              </c:numCache>
            </c:numRef>
          </c:yVal>
          <c:smooth val="1"/>
        </c:ser>
        <c:ser>
          <c:idx val="1"/>
          <c:order val="1"/>
          <c:xVal>
            <c:numLit>
              <c:formatCode>General</c:formatCode>
              <c:ptCount val="2"/>
              <c:pt idx="0">
                <c:v>1</c:v>
              </c:pt>
              <c:pt idx="1">
                <c:v>1000</c:v>
              </c:pt>
            </c:numLit>
          </c:xVal>
          <c:yVal>
            <c:numRef>
              <c:f>Sheet1!$E$3:$E$9</c:f>
              <c:numCache>
                <c:formatCode>General</c:formatCode>
                <c:ptCount val="7"/>
                <c:pt idx="0">
                  <c:v>0.70699999999999996</c:v>
                </c:pt>
                <c:pt idx="1">
                  <c:v>0.70699999999999996</c:v>
                </c:pt>
                <c:pt idx="2">
                  <c:v>0.70699999999999996</c:v>
                </c:pt>
                <c:pt idx="3">
                  <c:v>0.70699999999999996</c:v>
                </c:pt>
                <c:pt idx="4">
                  <c:v>0.70699999999999996</c:v>
                </c:pt>
                <c:pt idx="5">
                  <c:v>0.70699999999999996</c:v>
                </c:pt>
                <c:pt idx="6">
                  <c:v>0.70699999999999996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10208"/>
        <c:axId val="210924672"/>
      </c:scatterChart>
      <c:valAx>
        <c:axId val="210910208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f, </a:t>
                </a:r>
                <a:r>
                  <a:rPr lang="ru-RU"/>
                  <a:t>кГц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0924672"/>
        <c:crosses val="autoZero"/>
        <c:crossBetween val="midCat"/>
      </c:valAx>
      <c:valAx>
        <c:axId val="2109246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09102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АЧХ для аналогового ключа на оптронах</a:t>
            </a:r>
          </a:p>
        </c:rich>
      </c:tx>
      <c:layout>
        <c:manualLayout>
          <c:xMode val="edge"/>
          <c:yMode val="edge"/>
          <c:x val="0.20507798095485999"/>
          <c:y val="2.2116903633491312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Sheet1!$B$72:$B$78</c:f>
              <c:numCache>
                <c:formatCode>General</c:formatCode>
                <c:ptCount val="7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80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</c:numCache>
            </c:numRef>
          </c:xVal>
          <c:yVal>
            <c:numRef>
              <c:f>Sheet1!$D$72:$D$78</c:f>
              <c:numCache>
                <c:formatCode>General</c:formatCode>
                <c:ptCount val="7"/>
                <c:pt idx="0">
                  <c:v>1</c:v>
                </c:pt>
                <c:pt idx="1">
                  <c:v>0.91764705882352959</c:v>
                </c:pt>
                <c:pt idx="2">
                  <c:v>0.82352941176470584</c:v>
                </c:pt>
                <c:pt idx="3">
                  <c:v>0.74117647058823533</c:v>
                </c:pt>
                <c:pt idx="4">
                  <c:v>0.70588235294117652</c:v>
                </c:pt>
                <c:pt idx="5">
                  <c:v>0.68235294117647061</c:v>
                </c:pt>
                <c:pt idx="6">
                  <c:v>0.64705882352941191</c:v>
                </c:pt>
              </c:numCache>
            </c:numRef>
          </c:yVal>
          <c:smooth val="1"/>
        </c:ser>
        <c:ser>
          <c:idx val="1"/>
          <c:order val="1"/>
          <c:xVal>
            <c:numLit>
              <c:formatCode>General</c:formatCode>
              <c:ptCount val="2"/>
              <c:pt idx="0">
                <c:v>1</c:v>
              </c:pt>
              <c:pt idx="1">
                <c:v>1000</c:v>
              </c:pt>
            </c:numLit>
          </c:xVal>
          <c:yVal>
            <c:numRef>
              <c:f>Sheet1!$E$50:$E$56</c:f>
              <c:numCache>
                <c:formatCode>General</c:formatCode>
                <c:ptCount val="7"/>
                <c:pt idx="0">
                  <c:v>0.70699999999999996</c:v>
                </c:pt>
                <c:pt idx="1">
                  <c:v>0.70699999999999996</c:v>
                </c:pt>
                <c:pt idx="2">
                  <c:v>0.70699999999999996</c:v>
                </c:pt>
                <c:pt idx="3">
                  <c:v>0.70699999999999996</c:v>
                </c:pt>
                <c:pt idx="4">
                  <c:v>0.70699999999999996</c:v>
                </c:pt>
                <c:pt idx="5">
                  <c:v>0.70699999999999996</c:v>
                </c:pt>
                <c:pt idx="6">
                  <c:v>0.70699999999999996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50016"/>
        <c:axId val="210956288"/>
      </c:scatterChart>
      <c:valAx>
        <c:axId val="210950016"/>
        <c:scaling>
          <c:logBase val="10"/>
          <c:orientation val="minMax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f, </a:t>
                </a:r>
                <a:r>
                  <a:rPr lang="ru-RU"/>
                  <a:t>кГц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0956288"/>
        <c:crosses val="autoZero"/>
        <c:crossBetween val="midCat"/>
      </c:valAx>
      <c:valAx>
        <c:axId val="2109562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09500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АЧХ</a:t>
            </a:r>
            <a:r>
              <a:rPr lang="ru-RU" baseline="0"/>
              <a:t> для </a:t>
            </a:r>
            <a:r>
              <a:rPr lang="ru-RU" sz="1800" b="1" i="0" u="none" strike="noStrike" baseline="0"/>
              <a:t>двойного параллельного электронного ключа на полевых транзисторах </a:t>
            </a:r>
            <a:r>
              <a:rPr lang="ru-RU" baseline="0"/>
              <a:t> </a:t>
            </a:r>
            <a:endParaRPr lang="ru-RU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Sheet1!$B$50:$B$56</c:f>
              <c:numCache>
                <c:formatCode>General</c:formatCode>
                <c:ptCount val="7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80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</c:numCache>
            </c:numRef>
          </c:xVal>
          <c:yVal>
            <c:numRef>
              <c:f>Sheet1!$D$50:$D$56</c:f>
              <c:numCache>
                <c:formatCode>General</c:formatCode>
                <c:ptCount val="7"/>
                <c:pt idx="0">
                  <c:v>1</c:v>
                </c:pt>
                <c:pt idx="1">
                  <c:v>0.8571428571428571</c:v>
                </c:pt>
                <c:pt idx="2">
                  <c:v>0.7142857142857143</c:v>
                </c:pt>
                <c:pt idx="3">
                  <c:v>0.6428571428571429</c:v>
                </c:pt>
                <c:pt idx="4">
                  <c:v>0.5714285714285714</c:v>
                </c:pt>
                <c:pt idx="5">
                  <c:v>0.39285714285714285</c:v>
                </c:pt>
                <c:pt idx="6">
                  <c:v>0.2857142857142857</c:v>
                </c:pt>
              </c:numCache>
            </c:numRef>
          </c:yVal>
          <c:smooth val="1"/>
        </c:ser>
        <c:ser>
          <c:idx val="1"/>
          <c:order val="1"/>
          <c:xVal>
            <c:numLit>
              <c:formatCode>General</c:formatCode>
              <c:ptCount val="2"/>
              <c:pt idx="0">
                <c:v>1</c:v>
              </c:pt>
              <c:pt idx="1">
                <c:v>1000</c:v>
              </c:pt>
            </c:numLit>
          </c:xVal>
          <c:yVal>
            <c:numRef>
              <c:f>Sheet1!$E$50:$E$56</c:f>
              <c:numCache>
                <c:formatCode>General</c:formatCode>
                <c:ptCount val="7"/>
                <c:pt idx="0">
                  <c:v>0.70699999999999996</c:v>
                </c:pt>
                <c:pt idx="1">
                  <c:v>0.70699999999999996</c:v>
                </c:pt>
                <c:pt idx="2">
                  <c:v>0.70699999999999996</c:v>
                </c:pt>
                <c:pt idx="3">
                  <c:v>0.70699999999999996</c:v>
                </c:pt>
                <c:pt idx="4">
                  <c:v>0.70699999999999996</c:v>
                </c:pt>
                <c:pt idx="5">
                  <c:v>0.70699999999999996</c:v>
                </c:pt>
                <c:pt idx="6">
                  <c:v>0.70699999999999996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71040"/>
        <c:axId val="210872960"/>
      </c:scatterChart>
      <c:valAx>
        <c:axId val="210871040"/>
        <c:scaling>
          <c:logBase val="10"/>
          <c:orientation val="minMax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f, </a:t>
                </a:r>
                <a:r>
                  <a:rPr lang="ru-RU"/>
                  <a:t>кГц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0872960"/>
        <c:crosses val="autoZero"/>
        <c:crossBetween val="midCat"/>
      </c:valAx>
      <c:valAx>
        <c:axId val="2108729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08710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0</xdr:row>
      <xdr:rowOff>152400</xdr:rowOff>
    </xdr:from>
    <xdr:to>
      <xdr:col>16</xdr:col>
      <xdr:colOff>466725</xdr:colOff>
      <xdr:row>24</xdr:row>
      <xdr:rowOff>76200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25</xdr:row>
      <xdr:rowOff>171450</xdr:rowOff>
    </xdr:from>
    <xdr:to>
      <xdr:col>16</xdr:col>
      <xdr:colOff>238125</xdr:colOff>
      <xdr:row>47</xdr:row>
      <xdr:rowOff>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152400</xdr:colOff>
      <xdr:row>70</xdr:row>
      <xdr:rowOff>38100</xdr:rowOff>
    </xdr:from>
    <xdr:to>
      <xdr:col>16</xdr:col>
      <xdr:colOff>361950</xdr:colOff>
      <xdr:row>91</xdr:row>
      <xdr:rowOff>57150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76200</xdr:colOff>
      <xdr:row>48</xdr:row>
      <xdr:rowOff>19050</xdr:rowOff>
    </xdr:from>
    <xdr:to>
      <xdr:col>16</xdr:col>
      <xdr:colOff>285750</xdr:colOff>
      <xdr:row>69</xdr:row>
      <xdr:rowOff>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tabSelected="1" topLeftCell="A43" workbookViewId="0">
      <selection activeCell="S75" sqref="S75"/>
    </sheetView>
  </sheetViews>
  <sheetFormatPr defaultRowHeight="15" x14ac:dyDescent="0.25"/>
  <cols>
    <col min="1" max="3" width="18.2851562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5" x14ac:dyDescent="0.25">
      <c r="A2">
        <v>0.44</v>
      </c>
      <c r="B2">
        <v>1</v>
      </c>
      <c r="C2">
        <f>A2/0.88</f>
        <v>0.5</v>
      </c>
      <c r="D2">
        <f>C2/C$2</f>
        <v>1</v>
      </c>
      <c r="E2">
        <v>0.70699999999999996</v>
      </c>
    </row>
    <row r="3" spans="1:5" x14ac:dyDescent="0.25">
      <c r="A3">
        <v>0.44</v>
      </c>
      <c r="B3">
        <v>50</v>
      </c>
      <c r="C3">
        <f t="shared" ref="C3:C13" si="0">A3/0.88</f>
        <v>0.5</v>
      </c>
      <c r="D3">
        <f t="shared" ref="D3:D13" si="1">C3/C$2</f>
        <v>1</v>
      </c>
      <c r="E3">
        <v>0.70699999999999996</v>
      </c>
    </row>
    <row r="4" spans="1:5" x14ac:dyDescent="0.25">
      <c r="A4">
        <v>0.44</v>
      </c>
      <c r="B4">
        <v>100</v>
      </c>
      <c r="C4">
        <f t="shared" si="0"/>
        <v>0.5</v>
      </c>
      <c r="D4">
        <f t="shared" si="1"/>
        <v>1</v>
      </c>
      <c r="E4">
        <v>0.70699999999999996</v>
      </c>
    </row>
    <row r="5" spans="1:5" x14ac:dyDescent="0.25">
      <c r="A5">
        <f>0.78/2</f>
        <v>0.39</v>
      </c>
      <c r="B5">
        <v>200</v>
      </c>
      <c r="C5" s="2">
        <f t="shared" si="0"/>
        <v>0.44318181818181818</v>
      </c>
      <c r="D5">
        <f t="shared" si="1"/>
        <v>0.88636363636363635</v>
      </c>
      <c r="E5">
        <v>0.70699999999999996</v>
      </c>
    </row>
    <row r="6" spans="1:5" x14ac:dyDescent="0.25">
      <c r="A6">
        <f>0.72/2</f>
        <v>0.36</v>
      </c>
      <c r="B6">
        <v>300</v>
      </c>
      <c r="C6" s="2">
        <f t="shared" si="0"/>
        <v>0.40909090909090906</v>
      </c>
      <c r="D6">
        <f t="shared" si="1"/>
        <v>0.81818181818181812</v>
      </c>
      <c r="E6">
        <v>0.70699999999999996</v>
      </c>
    </row>
    <row r="7" spans="1:5" x14ac:dyDescent="0.25">
      <c r="A7">
        <v>0.3</v>
      </c>
      <c r="B7">
        <v>400</v>
      </c>
      <c r="C7" s="2">
        <f t="shared" si="0"/>
        <v>0.34090909090909088</v>
      </c>
      <c r="D7">
        <f t="shared" si="1"/>
        <v>0.68181818181818177</v>
      </c>
      <c r="E7">
        <v>0.70699999999999996</v>
      </c>
    </row>
    <row r="8" spans="1:5" x14ac:dyDescent="0.25">
      <c r="A8">
        <v>0.25</v>
      </c>
      <c r="B8">
        <v>500</v>
      </c>
      <c r="C8" s="2">
        <f t="shared" si="0"/>
        <v>0.28409090909090912</v>
      </c>
      <c r="D8">
        <f t="shared" si="1"/>
        <v>0.56818181818181823</v>
      </c>
      <c r="E8">
        <v>0.70699999999999996</v>
      </c>
    </row>
    <row r="9" spans="1:5" x14ac:dyDescent="0.25">
      <c r="A9">
        <v>0.22</v>
      </c>
      <c r="B9">
        <v>600</v>
      </c>
      <c r="C9">
        <f t="shared" si="0"/>
        <v>0.25</v>
      </c>
      <c r="D9">
        <f t="shared" si="1"/>
        <v>0.5</v>
      </c>
      <c r="E9">
        <v>0.70699999999999996</v>
      </c>
    </row>
    <row r="10" spans="1:5" x14ac:dyDescent="0.25">
      <c r="A10">
        <f>0.38/2</f>
        <v>0.19</v>
      </c>
      <c r="B10">
        <v>700</v>
      </c>
      <c r="C10" s="2">
        <f t="shared" si="0"/>
        <v>0.21590909090909091</v>
      </c>
      <c r="D10">
        <f t="shared" si="1"/>
        <v>0.43181818181818182</v>
      </c>
      <c r="E10">
        <v>0.70699999999999996</v>
      </c>
    </row>
    <row r="11" spans="1:5" x14ac:dyDescent="0.25">
      <c r="A11">
        <v>0.17</v>
      </c>
      <c r="B11">
        <v>800</v>
      </c>
      <c r="C11" s="2">
        <f t="shared" si="0"/>
        <v>0.1931818181818182</v>
      </c>
      <c r="D11">
        <f t="shared" si="1"/>
        <v>0.38636363636363641</v>
      </c>
      <c r="E11">
        <v>0.70699999999999996</v>
      </c>
    </row>
    <row r="12" spans="1:5" x14ac:dyDescent="0.25">
      <c r="A12">
        <v>0.16</v>
      </c>
      <c r="B12">
        <v>900</v>
      </c>
      <c r="C12" s="2">
        <f t="shared" si="0"/>
        <v>0.18181818181818182</v>
      </c>
      <c r="D12">
        <f t="shared" si="1"/>
        <v>0.36363636363636365</v>
      </c>
      <c r="E12">
        <v>0.70699999999999996</v>
      </c>
    </row>
    <row r="13" spans="1:5" x14ac:dyDescent="0.25">
      <c r="A13">
        <f>0.28/2</f>
        <v>0.14000000000000001</v>
      </c>
      <c r="B13">
        <v>1000</v>
      </c>
      <c r="C13" s="2">
        <f t="shared" si="0"/>
        <v>0.15909090909090912</v>
      </c>
      <c r="D13">
        <f t="shared" si="1"/>
        <v>0.31818181818181823</v>
      </c>
      <c r="E13">
        <v>0.70699999999999996</v>
      </c>
    </row>
    <row r="27" spans="1:4" x14ac:dyDescent="0.25">
      <c r="A27" s="1" t="s">
        <v>0</v>
      </c>
      <c r="B27" s="1" t="s">
        <v>1</v>
      </c>
      <c r="C27" s="1" t="s">
        <v>2</v>
      </c>
      <c r="D27" s="1" t="s">
        <v>4</v>
      </c>
    </row>
    <row r="28" spans="1:4" x14ac:dyDescent="0.25">
      <c r="A28">
        <v>0.5</v>
      </c>
      <c r="B28">
        <v>1</v>
      </c>
      <c r="C28">
        <f>A28/0.004</f>
        <v>125</v>
      </c>
      <c r="D28">
        <f>C28/C$28</f>
        <v>1</v>
      </c>
    </row>
    <row r="29" spans="1:4" x14ac:dyDescent="0.25">
      <c r="A29">
        <v>0.49</v>
      </c>
      <c r="B29">
        <v>10</v>
      </c>
      <c r="C29">
        <f t="shared" ref="C29:C34" si="2">A29/0.004</f>
        <v>122.5</v>
      </c>
      <c r="D29">
        <f t="shared" ref="D29:D34" si="3">C29/C$28</f>
        <v>0.98</v>
      </c>
    </row>
    <row r="30" spans="1:4" x14ac:dyDescent="0.25">
      <c r="A30">
        <v>0.42</v>
      </c>
      <c r="B30">
        <v>30</v>
      </c>
      <c r="C30">
        <f t="shared" si="2"/>
        <v>105</v>
      </c>
      <c r="D30">
        <f t="shared" si="3"/>
        <v>0.84</v>
      </c>
    </row>
    <row r="31" spans="1:4" x14ac:dyDescent="0.25">
      <c r="A31">
        <v>0.4</v>
      </c>
      <c r="B31">
        <v>50</v>
      </c>
      <c r="C31">
        <f t="shared" si="2"/>
        <v>100</v>
      </c>
      <c r="D31">
        <f t="shared" si="3"/>
        <v>0.8</v>
      </c>
    </row>
    <row r="32" spans="1:4" x14ac:dyDescent="0.25">
      <c r="A32">
        <v>0.32</v>
      </c>
      <c r="B32">
        <v>80</v>
      </c>
      <c r="C32">
        <f t="shared" si="2"/>
        <v>80</v>
      </c>
      <c r="D32">
        <f t="shared" si="3"/>
        <v>0.64</v>
      </c>
    </row>
    <row r="33" spans="1:4" x14ac:dyDescent="0.25">
      <c r="A33">
        <v>0.28999999999999998</v>
      </c>
      <c r="B33">
        <v>100</v>
      </c>
      <c r="C33">
        <f t="shared" si="2"/>
        <v>72.5</v>
      </c>
      <c r="D33">
        <f t="shared" si="3"/>
        <v>0.57999999999999996</v>
      </c>
    </row>
    <row r="34" spans="1:4" x14ac:dyDescent="0.25">
      <c r="A34">
        <v>0.17</v>
      </c>
      <c r="B34">
        <v>200</v>
      </c>
      <c r="C34">
        <f t="shared" si="2"/>
        <v>42.5</v>
      </c>
      <c r="D34">
        <f t="shared" si="3"/>
        <v>0.34</v>
      </c>
    </row>
    <row r="49" spans="1:5" x14ac:dyDescent="0.25">
      <c r="A49" s="1" t="s">
        <v>0</v>
      </c>
      <c r="B49" s="1" t="s">
        <v>1</v>
      </c>
      <c r="C49" s="1" t="s">
        <v>2</v>
      </c>
      <c r="D49" s="1" t="s">
        <v>4</v>
      </c>
    </row>
    <row r="50" spans="1:5" x14ac:dyDescent="0.25">
      <c r="A50">
        <v>0.28000000000000003</v>
      </c>
      <c r="B50">
        <v>10</v>
      </c>
      <c r="C50">
        <f>A50/0.001</f>
        <v>280</v>
      </c>
      <c r="D50">
        <f>C50/C$50</f>
        <v>1</v>
      </c>
      <c r="E50">
        <v>0.70699999999999996</v>
      </c>
    </row>
    <row r="51" spans="1:5" x14ac:dyDescent="0.25">
      <c r="A51">
        <v>0.24</v>
      </c>
      <c r="B51">
        <v>30</v>
      </c>
      <c r="C51">
        <f t="shared" ref="C51:C56" si="4">A51/0.001</f>
        <v>240</v>
      </c>
      <c r="D51">
        <f t="shared" ref="D51:D56" si="5">C51/C$50</f>
        <v>0.8571428571428571</v>
      </c>
      <c r="E51">
        <v>0.70699999999999996</v>
      </c>
    </row>
    <row r="52" spans="1:5" x14ac:dyDescent="0.25">
      <c r="A52">
        <v>0.2</v>
      </c>
      <c r="B52">
        <v>50</v>
      </c>
      <c r="C52">
        <f t="shared" si="4"/>
        <v>200</v>
      </c>
      <c r="D52">
        <f t="shared" si="5"/>
        <v>0.7142857142857143</v>
      </c>
      <c r="E52">
        <v>0.70699999999999996</v>
      </c>
    </row>
    <row r="53" spans="1:5" x14ac:dyDescent="0.25">
      <c r="A53">
        <v>0.18</v>
      </c>
      <c r="B53">
        <v>80</v>
      </c>
      <c r="C53">
        <f t="shared" si="4"/>
        <v>180</v>
      </c>
      <c r="D53">
        <f t="shared" si="5"/>
        <v>0.6428571428571429</v>
      </c>
      <c r="E53">
        <v>0.70699999999999996</v>
      </c>
    </row>
    <row r="54" spans="1:5" x14ac:dyDescent="0.25">
      <c r="A54">
        <v>0.16</v>
      </c>
      <c r="B54">
        <v>100</v>
      </c>
      <c r="C54">
        <f t="shared" si="4"/>
        <v>160</v>
      </c>
      <c r="D54">
        <f t="shared" si="5"/>
        <v>0.5714285714285714</v>
      </c>
      <c r="E54">
        <v>0.70699999999999996</v>
      </c>
    </row>
    <row r="55" spans="1:5" x14ac:dyDescent="0.25">
      <c r="A55">
        <v>0.11</v>
      </c>
      <c r="B55">
        <v>150</v>
      </c>
      <c r="C55">
        <f t="shared" si="4"/>
        <v>110</v>
      </c>
      <c r="D55">
        <f t="shared" si="5"/>
        <v>0.39285714285714285</v>
      </c>
      <c r="E55">
        <v>0.70699999999999996</v>
      </c>
    </row>
    <row r="56" spans="1:5" x14ac:dyDescent="0.25">
      <c r="A56">
        <v>0.08</v>
      </c>
      <c r="B56">
        <v>200</v>
      </c>
      <c r="C56">
        <f t="shared" si="4"/>
        <v>80</v>
      </c>
      <c r="D56">
        <f t="shared" si="5"/>
        <v>0.2857142857142857</v>
      </c>
      <c r="E56">
        <v>0.70699999999999996</v>
      </c>
    </row>
    <row r="71" spans="1:5" x14ac:dyDescent="0.25">
      <c r="A71" s="1" t="s">
        <v>0</v>
      </c>
      <c r="B71" s="1" t="s">
        <v>1</v>
      </c>
      <c r="C71" s="1" t="s">
        <v>2</v>
      </c>
      <c r="D71" s="1" t="s">
        <v>4</v>
      </c>
    </row>
    <row r="72" spans="1:5" x14ac:dyDescent="0.25">
      <c r="A72">
        <v>0.85</v>
      </c>
      <c r="B72">
        <v>10</v>
      </c>
      <c r="C72" s="2">
        <f>A72/0.06</f>
        <v>14.166666666666666</v>
      </c>
      <c r="D72">
        <f>C72/C$72</f>
        <v>1</v>
      </c>
    </row>
    <row r="73" spans="1:5" x14ac:dyDescent="0.25">
      <c r="A73">
        <v>0.78</v>
      </c>
      <c r="B73">
        <v>30</v>
      </c>
      <c r="C73">
        <f t="shared" ref="C73:C78" si="6">A73/0.06</f>
        <v>13.000000000000002</v>
      </c>
      <c r="D73">
        <f t="shared" ref="D73:D78" si="7">C73/C$72</f>
        <v>0.91764705882352959</v>
      </c>
    </row>
    <row r="74" spans="1:5" x14ac:dyDescent="0.25">
      <c r="A74">
        <v>0.7</v>
      </c>
      <c r="B74">
        <v>50</v>
      </c>
      <c r="C74" s="2">
        <f t="shared" si="6"/>
        <v>11.666666666666666</v>
      </c>
      <c r="D74">
        <f t="shared" si="7"/>
        <v>0.82352941176470584</v>
      </c>
    </row>
    <row r="75" spans="1:5" x14ac:dyDescent="0.25">
      <c r="A75">
        <v>0.63</v>
      </c>
      <c r="B75">
        <v>80</v>
      </c>
      <c r="C75">
        <f t="shared" si="6"/>
        <v>10.5</v>
      </c>
      <c r="D75">
        <f t="shared" si="7"/>
        <v>0.74117647058823533</v>
      </c>
    </row>
    <row r="76" spans="1:5" x14ac:dyDescent="0.25">
      <c r="A76">
        <v>0.6</v>
      </c>
      <c r="B76">
        <v>100</v>
      </c>
      <c r="C76">
        <f t="shared" si="6"/>
        <v>10</v>
      </c>
      <c r="D76">
        <f t="shared" si="7"/>
        <v>0.70588235294117652</v>
      </c>
      <c r="E76" s="2"/>
    </row>
    <row r="77" spans="1:5" x14ac:dyDescent="0.25">
      <c r="A77">
        <v>0.57999999999999996</v>
      </c>
      <c r="B77">
        <v>150</v>
      </c>
      <c r="C77" s="2">
        <f t="shared" si="6"/>
        <v>9.6666666666666661</v>
      </c>
      <c r="D77">
        <f t="shared" si="7"/>
        <v>0.68235294117647061</v>
      </c>
    </row>
    <row r="78" spans="1:5" x14ac:dyDescent="0.25">
      <c r="A78">
        <v>0.55000000000000004</v>
      </c>
      <c r="B78">
        <v>200</v>
      </c>
      <c r="C78" s="2">
        <f t="shared" si="6"/>
        <v>9.1666666666666679</v>
      </c>
      <c r="D78">
        <f t="shared" si="7"/>
        <v>0.64705882352941191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2026-05-10T14:42:51Z</dcterms:modified>
</cp:coreProperties>
</file>