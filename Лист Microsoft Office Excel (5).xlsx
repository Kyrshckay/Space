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Q78" i="1"/>
  <c r="Q79"/>
  <c r="Q80"/>
  <c r="Q81"/>
  <c r="Q82"/>
  <c r="Q83"/>
  <c r="Q77"/>
  <c r="Q62"/>
  <c r="C78"/>
  <c r="C79"/>
  <c r="C80"/>
  <c r="C81"/>
  <c r="C82"/>
  <c r="C83"/>
  <c r="C77"/>
  <c r="Q63"/>
  <c r="Q64"/>
  <c r="Q65"/>
  <c r="Q66"/>
  <c r="Q67"/>
  <c r="Q68"/>
  <c r="C63"/>
  <c r="C64"/>
  <c r="C65"/>
  <c r="C66"/>
  <c r="C67"/>
  <c r="C68"/>
  <c r="C62"/>
  <c r="Q48"/>
  <c r="Q49"/>
  <c r="Q50"/>
  <c r="Q51"/>
  <c r="Q52"/>
  <c r="Q53"/>
  <c r="Q47"/>
  <c r="C48"/>
  <c r="C49"/>
  <c r="C50"/>
  <c r="C51"/>
  <c r="C52"/>
  <c r="C53"/>
  <c r="C47"/>
  <c r="Q33"/>
  <c r="Q34"/>
  <c r="Q35"/>
  <c r="Q36"/>
  <c r="Q37"/>
  <c r="Q38"/>
  <c r="Q32"/>
  <c r="B34"/>
  <c r="C34" s="1"/>
  <c r="B33"/>
  <c r="C33" s="1"/>
  <c r="C35"/>
  <c r="C36"/>
  <c r="C37"/>
  <c r="B32"/>
  <c r="C32" s="1"/>
  <c r="C38"/>
  <c r="Q17"/>
  <c r="Q18"/>
  <c r="Q19"/>
  <c r="Q20"/>
  <c r="Q21"/>
  <c r="Q22"/>
  <c r="Q16"/>
  <c r="C17"/>
  <c r="C18"/>
  <c r="C19"/>
  <c r="C20"/>
  <c r="C21"/>
  <c r="C22"/>
  <c r="C16"/>
  <c r="Q2"/>
  <c r="Q3"/>
  <c r="Q4"/>
  <c r="Q5"/>
  <c r="Q6"/>
  <c r="Q7"/>
  <c r="Q1"/>
  <c r="C2"/>
  <c r="C3"/>
  <c r="C4"/>
  <c r="C5"/>
  <c r="C6"/>
  <c r="C7"/>
  <c r="C1"/>
</calcChain>
</file>

<file path=xl/sharedStrings.xml><?xml version="1.0" encoding="utf-8"?>
<sst xmlns="http://schemas.openxmlformats.org/spreadsheetml/2006/main" count="5" uniqueCount="5">
  <si>
    <t>Параметр</t>
  </si>
  <si>
    <t>Значение</t>
  </si>
  <si>
    <t>tу, мс</t>
  </si>
  <si>
    <r>
      <t>f₀, Гц</t>
    </r>
    <r>
      <rPr>
        <sz val="11"/>
        <color rgb="FF0F1115"/>
        <rFont val="Segoe UI"/>
        <family val="2"/>
        <charset val="204"/>
      </rPr>
      <t> (при β = 0,7)</t>
    </r>
  </si>
  <si>
    <r>
      <t>β</t>
    </r>
    <r>
      <rPr>
        <sz val="11"/>
        <color rgb="FF0F1115"/>
        <rFont val="Segoe UI"/>
        <family val="2"/>
        <charset val="204"/>
      </rPr>
      <t> (при f₀ = 0,8 Гц)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</si>
</sst>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rgb="FF0F1115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 wrapText="1"/>
    </xf>
    <xf numFmtId="2" fontId="1" fillId="0" borderId="3" xfId="0" applyNumberFormat="1" applyFont="1" applyBorder="1" applyAlignment="1">
      <alignment horizontal="center" vertical="top" wrapText="1"/>
    </xf>
    <xf numFmtId="2" fontId="0" fillId="0" borderId="0" xfId="0" applyNumberFormat="1"/>
    <xf numFmtId="2" fontId="2" fillId="0" borderId="2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3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left" wrapText="1" indent="1"/>
    </xf>
    <xf numFmtId="0" fontId="4" fillId="2" borderId="0" xfId="0" applyFont="1" applyFill="1" applyAlignment="1">
      <alignment horizontal="left" wrapText="1" inden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0.3 , Частота 0.4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Sheet1!$A$1:$A$7</c:f>
              <c:numCache>
                <c:formatCode>0.00</c:formatCode>
                <c:ptCount val="7"/>
                <c:pt idx="0">
                  <c:v>2.1800000000000002</c:v>
                </c:pt>
                <c:pt idx="1">
                  <c:v>2.1800000000000002</c:v>
                </c:pt>
                <c:pt idx="2">
                  <c:v>2.1800000000000002</c:v>
                </c:pt>
                <c:pt idx="3">
                  <c:v>2.1800000000000002</c:v>
                </c:pt>
                <c:pt idx="4">
                  <c:v>2.1800000000000002</c:v>
                </c:pt>
                <c:pt idx="5">
                  <c:v>2.1800000000000002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Sheet1!$B$1:$B$7</c:f>
              <c:numCache>
                <c:formatCode>0.00</c:formatCode>
                <c:ptCount val="7"/>
                <c:pt idx="0">
                  <c:v>-0.62</c:v>
                </c:pt>
                <c:pt idx="1">
                  <c:v>1.42</c:v>
                </c:pt>
                <c:pt idx="2">
                  <c:v>3.98</c:v>
                </c:pt>
                <c:pt idx="3">
                  <c:v>1.56</c:v>
                </c:pt>
                <c:pt idx="4">
                  <c:v>1.54</c:v>
                </c:pt>
                <c:pt idx="5">
                  <c:v>1.64</c:v>
                </c:pt>
                <c:pt idx="6">
                  <c:v>2.4500000000000002</c:v>
                </c:pt>
              </c:numCache>
            </c:numRef>
          </c:val>
        </c:ser>
        <c:marker val="1"/>
        <c:axId val="45498368"/>
        <c:axId val="45499904"/>
      </c:lineChart>
      <c:catAx>
        <c:axId val="45498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45499904"/>
        <c:crosses val="autoZero"/>
        <c:auto val="1"/>
        <c:lblAlgn val="ctr"/>
        <c:lblOffset val="100"/>
      </c:catAx>
      <c:valAx>
        <c:axId val="4549990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0.00" sourceLinked="1"/>
        <c:tickLblPos val="nextTo"/>
        <c:crossAx val="4549836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1, Частота 0.4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Sheet1!$A$16:$A$22</c:f>
              <c:numCache>
                <c:formatCode>0.00</c:formatCode>
                <c:ptCount val="7"/>
                <c:pt idx="0">
                  <c:v>2.1800000000000002</c:v>
                </c:pt>
                <c:pt idx="1">
                  <c:v>2.1800000000000002</c:v>
                </c:pt>
                <c:pt idx="2">
                  <c:v>2.19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Sheet1!$B$16:$B$22</c:f>
              <c:numCache>
                <c:formatCode>General</c:formatCode>
                <c:ptCount val="7"/>
                <c:pt idx="0">
                  <c:v>-0.75</c:v>
                </c:pt>
                <c:pt idx="1">
                  <c:v>1.28</c:v>
                </c:pt>
                <c:pt idx="2">
                  <c:v>1.83</c:v>
                </c:pt>
                <c:pt idx="3">
                  <c:v>2.19</c:v>
                </c:pt>
                <c:pt idx="4">
                  <c:v>2.19</c:v>
                </c:pt>
                <c:pt idx="5">
                  <c:v>2.2000000000000002</c:v>
                </c:pt>
                <c:pt idx="6">
                  <c:v>2.21</c:v>
                </c:pt>
              </c:numCache>
            </c:numRef>
          </c:val>
        </c:ser>
        <c:marker val="1"/>
        <c:axId val="8059136"/>
        <c:axId val="105066880"/>
      </c:lineChart>
      <c:catAx>
        <c:axId val="8059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105066880"/>
        <c:crosses val="autoZero"/>
        <c:auto val="1"/>
        <c:lblAlgn val="ctr"/>
        <c:lblOffset val="100"/>
      </c:catAx>
      <c:valAx>
        <c:axId val="1050668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0.00" sourceLinked="1"/>
        <c:tickLblPos val="nextTo"/>
        <c:crossAx val="805913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0.7, Частота 0.4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Sheet1!$O$1:$O$7</c:f>
              <c:numCache>
                <c:formatCode>0.00</c:formatCode>
                <c:ptCount val="7"/>
                <c:pt idx="0">
                  <c:v>2.1800000000000002</c:v>
                </c:pt>
                <c:pt idx="1">
                  <c:v>2.1800000000000002</c:v>
                </c:pt>
                <c:pt idx="2">
                  <c:v>2.1800000000000002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Sheet1!$P$1:$P$7</c:f>
              <c:numCache>
                <c:formatCode>0.00</c:formatCode>
                <c:ptCount val="7"/>
                <c:pt idx="0">
                  <c:v>-0.71</c:v>
                </c:pt>
                <c:pt idx="1">
                  <c:v>1.43</c:v>
                </c:pt>
                <c:pt idx="2">
                  <c:v>2.4</c:v>
                </c:pt>
                <c:pt idx="3">
                  <c:v>2.29</c:v>
                </c:pt>
                <c:pt idx="4">
                  <c:v>2.25</c:v>
                </c:pt>
                <c:pt idx="5">
                  <c:v>2.2200000000000002</c:v>
                </c:pt>
                <c:pt idx="6">
                  <c:v>2.2000000000000002</c:v>
                </c:pt>
              </c:numCache>
            </c:numRef>
          </c:val>
        </c:ser>
        <c:marker val="1"/>
        <c:axId val="105806848"/>
        <c:axId val="105834368"/>
      </c:lineChart>
      <c:catAx>
        <c:axId val="105806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105834368"/>
        <c:crosses val="autoZero"/>
        <c:auto val="1"/>
        <c:lblAlgn val="ctr"/>
        <c:lblOffset val="100"/>
      </c:catAx>
      <c:valAx>
        <c:axId val="10583436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0.00" sourceLinked="1"/>
        <c:tickLblPos val="nextTo"/>
        <c:crossAx val="10580684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2, Частота 0.4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Sheet1!$O$16:$O$22</c:f>
              <c:numCache>
                <c:formatCode>0.00</c:formatCode>
                <c:ptCount val="7"/>
                <c:pt idx="0">
                  <c:v>2.19</c:v>
                </c:pt>
                <c:pt idx="1">
                  <c:v>2.1800000000000002</c:v>
                </c:pt>
                <c:pt idx="2">
                  <c:v>2.19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Sheet1!$P$16:$P$22</c:f>
              <c:numCache>
                <c:formatCode>General</c:formatCode>
                <c:ptCount val="7"/>
                <c:pt idx="0">
                  <c:v>-0.84</c:v>
                </c:pt>
                <c:pt idx="1">
                  <c:v>0.94</c:v>
                </c:pt>
                <c:pt idx="2">
                  <c:v>1.37</c:v>
                </c:pt>
                <c:pt idx="3">
                  <c:v>1.72</c:v>
                </c:pt>
                <c:pt idx="4">
                  <c:v>1.88</c:v>
                </c:pt>
                <c:pt idx="5">
                  <c:v>1.92</c:v>
                </c:pt>
                <c:pt idx="6">
                  <c:v>2</c:v>
                </c:pt>
              </c:numCache>
            </c:numRef>
          </c:val>
        </c:ser>
        <c:marker val="1"/>
        <c:axId val="105639936"/>
        <c:axId val="109345408"/>
      </c:lineChart>
      <c:catAx>
        <c:axId val="105639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109345408"/>
        <c:crosses val="autoZero"/>
        <c:auto val="1"/>
        <c:lblAlgn val="ctr"/>
        <c:lblOffset val="100"/>
      </c:catAx>
      <c:valAx>
        <c:axId val="1093454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0.00" sourceLinked="1"/>
        <c:tickLblPos val="nextTo"/>
        <c:crossAx val="10563993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0.3 , Частота 0.8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Sheet1!$A$32:$A$38</c:f>
              <c:numCache>
                <c:formatCode>0.00</c:formatCode>
                <c:ptCount val="7"/>
                <c:pt idx="0">
                  <c:v>2.1800000000000002</c:v>
                </c:pt>
                <c:pt idx="1">
                  <c:v>2.1800000000000002</c:v>
                </c:pt>
                <c:pt idx="2">
                  <c:v>2.1800000000000002</c:v>
                </c:pt>
                <c:pt idx="3">
                  <c:v>2.1800000000000002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Sheet1!$B$32:$B$38</c:f>
              <c:numCache>
                <c:formatCode>General</c:formatCode>
                <c:ptCount val="7"/>
                <c:pt idx="0">
                  <c:v>1.23</c:v>
                </c:pt>
                <c:pt idx="1">
                  <c:v>1.88</c:v>
                </c:pt>
                <c:pt idx="2">
                  <c:v>3.9</c:v>
                </c:pt>
                <c:pt idx="3">
                  <c:v>1.91</c:v>
                </c:pt>
                <c:pt idx="4">
                  <c:v>1.58</c:v>
                </c:pt>
                <c:pt idx="5">
                  <c:v>2.0299999999999998</c:v>
                </c:pt>
                <c:pt idx="6">
                  <c:v>2.46</c:v>
                </c:pt>
              </c:numCache>
            </c:numRef>
          </c:val>
        </c:ser>
        <c:marker val="1"/>
        <c:axId val="108868352"/>
        <c:axId val="108869888"/>
      </c:lineChart>
      <c:catAx>
        <c:axId val="108868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108869888"/>
        <c:crosses val="autoZero"/>
        <c:auto val="1"/>
        <c:lblAlgn val="ctr"/>
        <c:lblOffset val="100"/>
      </c:catAx>
      <c:valAx>
        <c:axId val="10886988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0.00" sourceLinked="1"/>
        <c:tickLblPos val="nextTo"/>
        <c:crossAx val="10886835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0.7, Частота 0.8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Sheet1!$O$32:$O$38</c:f>
              <c:numCache>
                <c:formatCode>0.00</c:formatCode>
                <c:ptCount val="7"/>
                <c:pt idx="0">
                  <c:v>2.1800000000000002</c:v>
                </c:pt>
                <c:pt idx="1">
                  <c:v>2.1800000000000002</c:v>
                </c:pt>
                <c:pt idx="2">
                  <c:v>2.1800000000000002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Sheet1!$P$32:$P$38</c:f>
              <c:numCache>
                <c:formatCode>0.00</c:formatCode>
                <c:ptCount val="7"/>
                <c:pt idx="0">
                  <c:v>-1.08</c:v>
                </c:pt>
                <c:pt idx="1">
                  <c:v>1.5</c:v>
                </c:pt>
                <c:pt idx="2">
                  <c:v>2.42</c:v>
                </c:pt>
                <c:pt idx="3">
                  <c:v>2.2999999999999998</c:v>
                </c:pt>
                <c:pt idx="4">
                  <c:v>2.23</c:v>
                </c:pt>
                <c:pt idx="5">
                  <c:v>2.2000000000000002</c:v>
                </c:pt>
                <c:pt idx="6">
                  <c:v>2.21</c:v>
                </c:pt>
              </c:numCache>
            </c:numRef>
          </c:val>
        </c:ser>
        <c:marker val="1"/>
        <c:axId val="45535616"/>
        <c:axId val="45537152"/>
      </c:lineChart>
      <c:catAx>
        <c:axId val="45535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45537152"/>
        <c:crosses val="autoZero"/>
        <c:auto val="1"/>
        <c:lblAlgn val="ctr"/>
        <c:lblOffset val="100"/>
      </c:catAx>
      <c:valAx>
        <c:axId val="455371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0.00" sourceLinked="1"/>
        <c:tickLblPos val="nextTo"/>
        <c:crossAx val="4553561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1, Частота 0.8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Sheet1!$A$47:$A$53</c:f>
              <c:numCache>
                <c:formatCode>0.00</c:formatCode>
                <c:ptCount val="7"/>
                <c:pt idx="0">
                  <c:v>2.1800000000000002</c:v>
                </c:pt>
                <c:pt idx="1">
                  <c:v>2.1800000000000002</c:v>
                </c:pt>
                <c:pt idx="2">
                  <c:v>2.19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Sheet1!$B$47:$B$53</c:f>
              <c:numCache>
                <c:formatCode>General</c:formatCode>
                <c:ptCount val="7"/>
                <c:pt idx="0">
                  <c:v>-0.81</c:v>
                </c:pt>
                <c:pt idx="1">
                  <c:v>0.98</c:v>
                </c:pt>
                <c:pt idx="2">
                  <c:v>1.86</c:v>
                </c:pt>
                <c:pt idx="3">
                  <c:v>2.19</c:v>
                </c:pt>
                <c:pt idx="4">
                  <c:v>2.19</c:v>
                </c:pt>
                <c:pt idx="5">
                  <c:v>2.21</c:v>
                </c:pt>
                <c:pt idx="6">
                  <c:v>2.21</c:v>
                </c:pt>
              </c:numCache>
            </c:numRef>
          </c:val>
        </c:ser>
        <c:marker val="1"/>
        <c:axId val="81745024"/>
        <c:axId val="81746944"/>
      </c:lineChart>
      <c:catAx>
        <c:axId val="81745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81746944"/>
        <c:crosses val="autoZero"/>
        <c:auto val="1"/>
        <c:lblAlgn val="ctr"/>
        <c:lblOffset val="100"/>
      </c:catAx>
      <c:valAx>
        <c:axId val="8174694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0.00" sourceLinked="1"/>
        <c:tickLblPos val="nextTo"/>
        <c:crossAx val="8174502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2, Частота 0.8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Sheet1!$O$47:$O$53</c:f>
              <c:numCache>
                <c:formatCode>0.00</c:formatCode>
                <c:ptCount val="7"/>
                <c:pt idx="0">
                  <c:v>2.1800000000000002</c:v>
                </c:pt>
                <c:pt idx="1">
                  <c:v>2.19</c:v>
                </c:pt>
                <c:pt idx="2">
                  <c:v>2.19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Sheet1!$P$47:$P$53</c:f>
              <c:numCache>
                <c:formatCode>General</c:formatCode>
                <c:ptCount val="7"/>
                <c:pt idx="0">
                  <c:v>-0.79</c:v>
                </c:pt>
                <c:pt idx="1">
                  <c:v>0.97</c:v>
                </c:pt>
                <c:pt idx="2">
                  <c:v>1.38</c:v>
                </c:pt>
                <c:pt idx="3">
                  <c:v>1.76</c:v>
                </c:pt>
                <c:pt idx="4">
                  <c:v>1.87</c:v>
                </c:pt>
                <c:pt idx="5">
                  <c:v>1.98</c:v>
                </c:pt>
                <c:pt idx="6">
                  <c:v>2.06</c:v>
                </c:pt>
              </c:numCache>
            </c:numRef>
          </c:val>
        </c:ser>
        <c:marker val="1"/>
        <c:axId val="111685632"/>
        <c:axId val="111687168"/>
      </c:lineChart>
      <c:catAx>
        <c:axId val="111685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111687168"/>
        <c:crosses val="autoZero"/>
        <c:auto val="1"/>
        <c:lblAlgn val="ctr"/>
        <c:lblOffset val="100"/>
      </c:catAx>
      <c:valAx>
        <c:axId val="11168716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0.00" sourceLinked="1"/>
        <c:tickLblPos val="nextTo"/>
        <c:crossAx val="11168563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0.3 , Частота 1.2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Sheet1!$A$62:$A$68</c:f>
              <c:numCache>
                <c:formatCode>General</c:formatCode>
                <c:ptCount val="7"/>
                <c:pt idx="0">
                  <c:v>2.1800000000000002</c:v>
                </c:pt>
                <c:pt idx="1">
                  <c:v>2.1800000000000002</c:v>
                </c:pt>
                <c:pt idx="2">
                  <c:v>2.19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Sheet1!$B$62:$B$68</c:f>
              <c:numCache>
                <c:formatCode>General</c:formatCode>
                <c:ptCount val="7"/>
                <c:pt idx="0">
                  <c:v>-0.91</c:v>
                </c:pt>
                <c:pt idx="1">
                  <c:v>1.94</c:v>
                </c:pt>
                <c:pt idx="2">
                  <c:v>3.9</c:v>
                </c:pt>
                <c:pt idx="3">
                  <c:v>1.98</c:v>
                </c:pt>
                <c:pt idx="4">
                  <c:v>1.58</c:v>
                </c:pt>
                <c:pt idx="5">
                  <c:v>1.86</c:v>
                </c:pt>
                <c:pt idx="6">
                  <c:v>2.96</c:v>
                </c:pt>
              </c:numCache>
            </c:numRef>
          </c:val>
        </c:ser>
        <c:marker val="1"/>
        <c:axId val="81611776"/>
        <c:axId val="81634816"/>
      </c:lineChart>
      <c:catAx>
        <c:axId val="81611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81634816"/>
        <c:crosses val="autoZero"/>
        <c:auto val="1"/>
        <c:lblAlgn val="ctr"/>
        <c:lblOffset val="100"/>
      </c:catAx>
      <c:valAx>
        <c:axId val="8163481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General" sourceLinked="1"/>
        <c:tickLblPos val="nextTo"/>
        <c:crossAx val="8161177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0.7, Частота 1.2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Sheet1!$O$62:$O$68</c:f>
              <c:numCache>
                <c:formatCode>General</c:formatCode>
                <c:ptCount val="7"/>
                <c:pt idx="0">
                  <c:v>2.1800000000000002</c:v>
                </c:pt>
                <c:pt idx="1">
                  <c:v>2.1800000000000002</c:v>
                </c:pt>
                <c:pt idx="2">
                  <c:v>2.1800000000000002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Sheet1!$P$62:$P$68</c:f>
              <c:numCache>
                <c:formatCode>0.00</c:formatCode>
                <c:ptCount val="7"/>
                <c:pt idx="0" formatCode="General">
                  <c:v>-1.0900000000000001</c:v>
                </c:pt>
                <c:pt idx="1">
                  <c:v>1.98</c:v>
                </c:pt>
                <c:pt idx="2">
                  <c:v>2.35</c:v>
                </c:pt>
                <c:pt idx="3" formatCode="General">
                  <c:v>2.29</c:v>
                </c:pt>
                <c:pt idx="4" formatCode="General">
                  <c:v>2.23</c:v>
                </c:pt>
                <c:pt idx="5" formatCode="General">
                  <c:v>2.2000000000000002</c:v>
                </c:pt>
                <c:pt idx="6" formatCode="General">
                  <c:v>2.21</c:v>
                </c:pt>
              </c:numCache>
            </c:numRef>
          </c:val>
        </c:ser>
        <c:marker val="1"/>
        <c:axId val="105085184"/>
        <c:axId val="105592704"/>
      </c:lineChart>
      <c:catAx>
        <c:axId val="105085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105592704"/>
        <c:crosses val="autoZero"/>
        <c:auto val="1"/>
        <c:lblAlgn val="ctr"/>
        <c:lblOffset val="100"/>
      </c:catAx>
      <c:valAx>
        <c:axId val="10559270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General" sourceLinked="1"/>
        <c:tickLblPos val="nextTo"/>
        <c:crossAx val="10508518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1, Частота 1.2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Sheet1!$A$77:$A$83</c:f>
              <c:numCache>
                <c:formatCode>General</c:formatCode>
                <c:ptCount val="7"/>
                <c:pt idx="0">
                  <c:v>2.1800000000000002</c:v>
                </c:pt>
                <c:pt idx="1">
                  <c:v>2.1800000000000002</c:v>
                </c:pt>
                <c:pt idx="2">
                  <c:v>2.1800000000000002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Sheet1!$B$77:$B$83</c:f>
              <c:numCache>
                <c:formatCode>General</c:formatCode>
                <c:ptCount val="7"/>
                <c:pt idx="0">
                  <c:v>-0.92</c:v>
                </c:pt>
                <c:pt idx="1">
                  <c:v>1.17</c:v>
                </c:pt>
                <c:pt idx="2">
                  <c:v>1.88</c:v>
                </c:pt>
                <c:pt idx="3">
                  <c:v>2.17</c:v>
                </c:pt>
                <c:pt idx="4">
                  <c:v>2.2000000000000002</c:v>
                </c:pt>
                <c:pt idx="5">
                  <c:v>2.21</c:v>
                </c:pt>
                <c:pt idx="6">
                  <c:v>2.21</c:v>
                </c:pt>
              </c:numCache>
            </c:numRef>
          </c:val>
        </c:ser>
        <c:marker val="1"/>
        <c:axId val="109166592"/>
        <c:axId val="109168896"/>
      </c:lineChart>
      <c:catAx>
        <c:axId val="109166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109168896"/>
        <c:crosses val="autoZero"/>
        <c:auto val="1"/>
        <c:lblAlgn val="ctr"/>
        <c:lblOffset val="100"/>
      </c:catAx>
      <c:valAx>
        <c:axId val="1091688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General" sourceLinked="1"/>
        <c:tickLblPos val="nextTo"/>
        <c:crossAx val="10916659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Коэффициент 2, Частота 1.2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Sheet1!$O$77:$O$83</c:f>
              <c:numCache>
                <c:formatCode>0.00</c:formatCode>
                <c:ptCount val="7"/>
                <c:pt idx="0">
                  <c:v>2.19</c:v>
                </c:pt>
                <c:pt idx="1">
                  <c:v>2.19</c:v>
                </c:pt>
                <c:pt idx="2">
                  <c:v>2.19</c:v>
                </c:pt>
                <c:pt idx="3">
                  <c:v>2.19</c:v>
                </c:pt>
                <c:pt idx="4">
                  <c:v>2.19</c:v>
                </c:pt>
                <c:pt idx="5">
                  <c:v>2.19</c:v>
                </c:pt>
                <c:pt idx="6">
                  <c:v>2.19</c:v>
                </c:pt>
              </c:numCache>
            </c:numRef>
          </c:val>
        </c:ser>
        <c:ser>
          <c:idx val="1"/>
          <c:order val="1"/>
          <c:val>
            <c:numRef>
              <c:f>Sheet1!$P$77:$P$83</c:f>
              <c:numCache>
                <c:formatCode>General</c:formatCode>
                <c:ptCount val="7"/>
                <c:pt idx="0">
                  <c:v>-0.93</c:v>
                </c:pt>
                <c:pt idx="1">
                  <c:v>1.04</c:v>
                </c:pt>
                <c:pt idx="2">
                  <c:v>1.96</c:v>
                </c:pt>
                <c:pt idx="3">
                  <c:v>1.75</c:v>
                </c:pt>
                <c:pt idx="4">
                  <c:v>1.88</c:v>
                </c:pt>
                <c:pt idx="5">
                  <c:v>1.95</c:v>
                </c:pt>
                <c:pt idx="6">
                  <c:v>2.09</c:v>
                </c:pt>
              </c:numCache>
            </c:numRef>
          </c:val>
        </c:ser>
        <c:marker val="1"/>
        <c:axId val="111687936"/>
        <c:axId val="112390528"/>
      </c:lineChart>
      <c:catAx>
        <c:axId val="111687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t, </a:t>
                </a:r>
                <a:r>
                  <a:rPr lang="ru-RU"/>
                  <a:t>с</a:t>
                </a:r>
              </a:p>
            </c:rich>
          </c:tx>
          <c:layout/>
        </c:title>
        <c:tickLblPos val="nextTo"/>
        <c:crossAx val="112390528"/>
        <c:crosses val="autoZero"/>
        <c:auto val="1"/>
        <c:lblAlgn val="ctr"/>
        <c:lblOffset val="100"/>
      </c:catAx>
      <c:valAx>
        <c:axId val="11239052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U, </a:t>
                </a:r>
                <a:r>
                  <a:rPr lang="ru-RU"/>
                  <a:t>В</a:t>
                </a:r>
              </a:p>
            </c:rich>
          </c:tx>
          <c:layout/>
        </c:title>
        <c:numFmt formatCode="0.00" sourceLinked="1"/>
        <c:tickLblPos val="nextTo"/>
        <c:crossAx val="11168793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/>
      <c:lineChart>
        <c:grouping val="standard"/>
        <c:ser>
          <c:idx val="0"/>
          <c:order val="0"/>
          <c:cat>
            <c:numRef>
              <c:f>Sheet1!$B$103:$B$105</c:f>
              <c:numCache>
                <c:formatCode>General</c:formatCode>
                <c:ptCount val="3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</c:numCache>
            </c:numRef>
          </c:cat>
          <c:val>
            <c:numRef>
              <c:f>Sheet1!$A$103:$A$105</c:f>
              <c:numCache>
                <c:formatCode>General</c:formatCode>
                <c:ptCount val="3"/>
                <c:pt idx="0">
                  <c:v>12.5</c:v>
                </c:pt>
                <c:pt idx="1">
                  <c:v>6.3</c:v>
                </c:pt>
                <c:pt idx="2">
                  <c:v>4.2</c:v>
                </c:pt>
              </c:numCache>
            </c:numRef>
          </c:val>
        </c:ser>
        <c:marker val="1"/>
        <c:axId val="81721216"/>
        <c:axId val="104493056"/>
      </c:lineChart>
      <c:catAx>
        <c:axId val="81721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f0</a:t>
                </a:r>
              </a:p>
            </c:rich>
          </c:tx>
          <c:layout/>
        </c:title>
        <c:numFmt formatCode="General" sourceLinked="1"/>
        <c:tickLblPos val="nextTo"/>
        <c:crossAx val="104493056"/>
        <c:crosses val="autoZero"/>
        <c:auto val="1"/>
        <c:lblAlgn val="ctr"/>
        <c:lblOffset val="100"/>
      </c:catAx>
      <c:valAx>
        <c:axId val="1044930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ty, </a:t>
                </a:r>
                <a:r>
                  <a:rPr lang="ru-RU"/>
                  <a:t>мс</a:t>
                </a:r>
              </a:p>
            </c:rich>
          </c:tx>
          <c:layout/>
        </c:title>
        <c:numFmt formatCode="General" sourceLinked="1"/>
        <c:tickLblPos val="nextTo"/>
        <c:crossAx val="8172121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cat>
            <c:numRef>
              <c:f>Sheet1!$F$103:$F$106</c:f>
              <c:numCache>
                <c:formatCode>General</c:formatCode>
                <c:ptCount val="4"/>
                <c:pt idx="0">
                  <c:v>0.3</c:v>
                </c:pt>
                <c:pt idx="1">
                  <c:v>0.7</c:v>
                </c:pt>
                <c:pt idx="2">
                  <c:v>1</c:v>
                </c:pt>
                <c:pt idx="3">
                  <c:v>2</c:v>
                </c:pt>
              </c:numCache>
            </c:numRef>
          </c:cat>
          <c:val>
            <c:numRef>
              <c:f>Sheet1!$E$103:$E$106</c:f>
              <c:numCache>
                <c:formatCode>General</c:formatCode>
                <c:ptCount val="4"/>
                <c:pt idx="0">
                  <c:v>11.8</c:v>
                </c:pt>
                <c:pt idx="1">
                  <c:v>6.3</c:v>
                </c:pt>
                <c:pt idx="2">
                  <c:v>4.5</c:v>
                </c:pt>
                <c:pt idx="3">
                  <c:v>3.2</c:v>
                </c:pt>
              </c:numCache>
            </c:numRef>
          </c:val>
        </c:ser>
        <c:marker val="1"/>
        <c:axId val="108682624"/>
        <c:axId val="108706432"/>
      </c:lineChart>
      <c:catAx>
        <c:axId val="108682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β</a:t>
                </a:r>
              </a:p>
            </c:rich>
          </c:tx>
          <c:layout/>
        </c:title>
        <c:numFmt formatCode="General" sourceLinked="1"/>
        <c:tickLblPos val="nextTo"/>
        <c:crossAx val="108706432"/>
        <c:crosses val="autoZero"/>
        <c:auto val="1"/>
        <c:lblAlgn val="ctr"/>
        <c:lblOffset val="100"/>
      </c:catAx>
      <c:valAx>
        <c:axId val="10870643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ty, </a:t>
                </a:r>
                <a:r>
                  <a:rPr lang="ru-RU"/>
                  <a:t>мс</a:t>
                </a:r>
              </a:p>
            </c:rich>
          </c:tx>
          <c:layout/>
        </c:title>
        <c:numFmt formatCode="General" sourceLinked="1"/>
        <c:tickLblPos val="nextTo"/>
        <c:crossAx val="108682624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19050</xdr:rowOff>
    </xdr:from>
    <xdr:to>
      <xdr:col>12</xdr:col>
      <xdr:colOff>333375</xdr:colOff>
      <xdr:row>13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9525</xdr:rowOff>
    </xdr:from>
    <xdr:to>
      <xdr:col>12</xdr:col>
      <xdr:colOff>304800</xdr:colOff>
      <xdr:row>28</xdr:row>
      <xdr:rowOff>142875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28575</xdr:colOff>
      <xdr:row>0</xdr:row>
      <xdr:rowOff>9525</xdr:rowOff>
    </xdr:from>
    <xdr:to>
      <xdr:col>25</xdr:col>
      <xdr:colOff>333375</xdr:colOff>
      <xdr:row>13</xdr:row>
      <xdr:rowOff>142875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9525</xdr:colOff>
      <xdr:row>15</xdr:row>
      <xdr:rowOff>9525</xdr:rowOff>
    </xdr:from>
    <xdr:to>
      <xdr:col>25</xdr:col>
      <xdr:colOff>314325</xdr:colOff>
      <xdr:row>28</xdr:row>
      <xdr:rowOff>142875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31</xdr:row>
      <xdr:rowOff>9525</xdr:rowOff>
    </xdr:from>
    <xdr:to>
      <xdr:col>12</xdr:col>
      <xdr:colOff>323850</xdr:colOff>
      <xdr:row>44</xdr:row>
      <xdr:rowOff>142875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9525</xdr:colOff>
      <xdr:row>31</xdr:row>
      <xdr:rowOff>19050</xdr:rowOff>
    </xdr:from>
    <xdr:to>
      <xdr:col>25</xdr:col>
      <xdr:colOff>314325</xdr:colOff>
      <xdr:row>44</xdr:row>
      <xdr:rowOff>152400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46</xdr:row>
      <xdr:rowOff>9525</xdr:rowOff>
    </xdr:from>
    <xdr:to>
      <xdr:col>12</xdr:col>
      <xdr:colOff>304800</xdr:colOff>
      <xdr:row>59</xdr:row>
      <xdr:rowOff>142875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9525</xdr:colOff>
      <xdr:row>45</xdr:row>
      <xdr:rowOff>190500</xdr:rowOff>
    </xdr:from>
    <xdr:to>
      <xdr:col>25</xdr:col>
      <xdr:colOff>314325</xdr:colOff>
      <xdr:row>59</xdr:row>
      <xdr:rowOff>123825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60</xdr:row>
      <xdr:rowOff>190500</xdr:rowOff>
    </xdr:from>
    <xdr:to>
      <xdr:col>12</xdr:col>
      <xdr:colOff>304800</xdr:colOff>
      <xdr:row>74</xdr:row>
      <xdr:rowOff>123825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19050</xdr:colOff>
      <xdr:row>61</xdr:row>
      <xdr:rowOff>9525</xdr:rowOff>
    </xdr:from>
    <xdr:to>
      <xdr:col>25</xdr:col>
      <xdr:colOff>323850</xdr:colOff>
      <xdr:row>74</xdr:row>
      <xdr:rowOff>142875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600075</xdr:colOff>
      <xdr:row>76</xdr:row>
      <xdr:rowOff>0</xdr:rowOff>
    </xdr:from>
    <xdr:to>
      <xdr:col>12</xdr:col>
      <xdr:colOff>295275</xdr:colOff>
      <xdr:row>89</xdr:row>
      <xdr:rowOff>133350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9525</xdr:colOff>
      <xdr:row>76</xdr:row>
      <xdr:rowOff>0</xdr:rowOff>
    </xdr:from>
    <xdr:to>
      <xdr:col>25</xdr:col>
      <xdr:colOff>314325</xdr:colOff>
      <xdr:row>89</xdr:row>
      <xdr:rowOff>133350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161925</xdr:colOff>
      <xdr:row>91</xdr:row>
      <xdr:rowOff>123825</xdr:rowOff>
    </xdr:from>
    <xdr:to>
      <xdr:col>18</xdr:col>
      <xdr:colOff>438150</xdr:colOff>
      <xdr:row>98</xdr:row>
      <xdr:rowOff>161925</xdr:rowOff>
    </xdr:to>
    <xdr:graphicFrame macro="">
      <xdr:nvGraphicFramePr>
        <xdr:cNvPr id="15" name="Диаграмма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561975</xdr:colOff>
      <xdr:row>96</xdr:row>
      <xdr:rowOff>571500</xdr:rowOff>
    </xdr:from>
    <xdr:to>
      <xdr:col>15</xdr:col>
      <xdr:colOff>228600</xdr:colOff>
      <xdr:row>110</xdr:row>
      <xdr:rowOff>95250</xdr:rowOff>
    </xdr:to>
    <xdr:graphicFrame macro="">
      <xdr:nvGraphicFramePr>
        <xdr:cNvPr id="16" name="Диаграмма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topLeftCell="A82" workbookViewId="0">
      <selection activeCell="E103" sqref="E103:E106"/>
    </sheetView>
  </sheetViews>
  <sheetFormatPr defaultRowHeight="15"/>
  <cols>
    <col min="1" max="1" width="9.7109375" bestFit="1" customWidth="1"/>
    <col min="2" max="2" width="9.5703125" bestFit="1" customWidth="1"/>
    <col min="15" max="15" width="9.5703125" bestFit="1" customWidth="1"/>
  </cols>
  <sheetData>
    <row r="1" spans="1:17" ht="16.5" thickBot="1">
      <c r="A1" s="3">
        <v>2.1800000000000002</v>
      </c>
      <c r="B1" s="6">
        <v>-0.62</v>
      </c>
      <c r="C1" s="5">
        <f>B1-A1</f>
        <v>-2.8000000000000003</v>
      </c>
      <c r="O1" s="3">
        <v>2.1800000000000002</v>
      </c>
      <c r="P1" s="6">
        <v>-0.71</v>
      </c>
      <c r="Q1" s="5">
        <f>P1-O1</f>
        <v>-2.89</v>
      </c>
    </row>
    <row r="2" spans="1:17" ht="16.5" thickBot="1">
      <c r="A2" s="3">
        <v>2.1800000000000002</v>
      </c>
      <c r="B2" s="7">
        <v>1.42</v>
      </c>
      <c r="C2" s="5">
        <f t="shared" ref="C2:C7" si="0">B2-A2</f>
        <v>-0.76000000000000023</v>
      </c>
      <c r="O2" s="3">
        <v>2.1800000000000002</v>
      </c>
      <c r="P2" s="7">
        <v>1.43</v>
      </c>
      <c r="Q2" s="5">
        <f t="shared" ref="Q2:Q7" si="1">P2-O2</f>
        <v>-0.75000000000000022</v>
      </c>
    </row>
    <row r="3" spans="1:17" ht="16.5" thickBot="1">
      <c r="A3" s="3">
        <v>2.1800000000000002</v>
      </c>
      <c r="B3" s="7">
        <v>3.98</v>
      </c>
      <c r="C3" s="5">
        <f t="shared" si="0"/>
        <v>1.7999999999999998</v>
      </c>
      <c r="O3" s="3">
        <v>2.1800000000000002</v>
      </c>
      <c r="P3" s="7">
        <v>2.4</v>
      </c>
      <c r="Q3" s="5">
        <f t="shared" si="1"/>
        <v>0.21999999999999975</v>
      </c>
    </row>
    <row r="4" spans="1:17" ht="16.5" thickBot="1">
      <c r="A4" s="3">
        <v>2.1800000000000002</v>
      </c>
      <c r="B4" s="7">
        <v>1.56</v>
      </c>
      <c r="C4" s="5">
        <f t="shared" si="0"/>
        <v>-0.62000000000000011</v>
      </c>
      <c r="O4" s="4">
        <v>2.19</v>
      </c>
      <c r="P4" s="7">
        <v>2.29</v>
      </c>
      <c r="Q4" s="5">
        <f t="shared" si="1"/>
        <v>0.10000000000000009</v>
      </c>
    </row>
    <row r="5" spans="1:17" ht="16.5" thickBot="1">
      <c r="A5" s="3">
        <v>2.1800000000000002</v>
      </c>
      <c r="B5" s="7">
        <v>1.54</v>
      </c>
      <c r="C5" s="5">
        <f t="shared" si="0"/>
        <v>-0.64000000000000012</v>
      </c>
      <c r="O5" s="4">
        <v>2.19</v>
      </c>
      <c r="P5" s="7">
        <v>2.25</v>
      </c>
      <c r="Q5" s="5">
        <f t="shared" si="1"/>
        <v>6.0000000000000053E-2</v>
      </c>
    </row>
    <row r="6" spans="1:17" ht="16.5" thickBot="1">
      <c r="A6" s="3">
        <v>2.1800000000000002</v>
      </c>
      <c r="B6" s="7">
        <v>1.64</v>
      </c>
      <c r="C6" s="5">
        <f t="shared" si="0"/>
        <v>-0.54000000000000026</v>
      </c>
      <c r="O6" s="4">
        <v>2.19</v>
      </c>
      <c r="P6" s="7">
        <v>2.2200000000000002</v>
      </c>
      <c r="Q6" s="5">
        <f t="shared" si="1"/>
        <v>3.0000000000000249E-2</v>
      </c>
    </row>
    <row r="7" spans="1:17" ht="16.5" thickBot="1">
      <c r="A7" s="3">
        <v>2.19</v>
      </c>
      <c r="B7" s="7">
        <v>2.4500000000000002</v>
      </c>
      <c r="C7" s="5">
        <f t="shared" si="0"/>
        <v>0.26000000000000023</v>
      </c>
      <c r="O7" s="4">
        <v>2.19</v>
      </c>
      <c r="P7" s="7">
        <v>2.2000000000000002</v>
      </c>
      <c r="Q7" s="5">
        <f t="shared" si="1"/>
        <v>1.0000000000000231E-2</v>
      </c>
    </row>
    <row r="15" spans="1:17" ht="15.75" thickBot="1"/>
    <row r="16" spans="1:17" ht="16.5" thickBot="1">
      <c r="A16" s="8">
        <v>2.1800000000000002</v>
      </c>
      <c r="B16" s="1">
        <v>-0.75</v>
      </c>
      <c r="C16" s="5">
        <f>B16-A16</f>
        <v>-2.93</v>
      </c>
      <c r="O16" s="8">
        <v>2.19</v>
      </c>
      <c r="P16" s="1">
        <v>-0.84</v>
      </c>
      <c r="Q16" s="5">
        <f>P16-O16</f>
        <v>-3.03</v>
      </c>
    </row>
    <row r="17" spans="1:17" ht="16.5" thickBot="1">
      <c r="A17" s="8">
        <v>2.1800000000000002</v>
      </c>
      <c r="B17" s="2">
        <v>1.28</v>
      </c>
      <c r="C17" s="5">
        <f t="shared" ref="C17:C22" si="2">B17-A17</f>
        <v>-0.90000000000000013</v>
      </c>
      <c r="O17" s="8">
        <v>2.1800000000000002</v>
      </c>
      <c r="P17" s="2">
        <v>0.94</v>
      </c>
      <c r="Q17" s="5">
        <f t="shared" ref="Q17:Q22" si="3">P17-O17</f>
        <v>-1.2400000000000002</v>
      </c>
    </row>
    <row r="18" spans="1:17" ht="16.5" thickBot="1">
      <c r="A18" s="8">
        <v>2.19</v>
      </c>
      <c r="B18" s="2">
        <v>1.83</v>
      </c>
      <c r="C18" s="5">
        <f t="shared" si="2"/>
        <v>-0.35999999999999988</v>
      </c>
      <c r="O18" s="8">
        <v>2.19</v>
      </c>
      <c r="P18" s="2">
        <v>1.37</v>
      </c>
      <c r="Q18" s="5">
        <f t="shared" si="3"/>
        <v>-0.81999999999999984</v>
      </c>
    </row>
    <row r="19" spans="1:17" ht="16.5" thickBot="1">
      <c r="A19" s="8">
        <v>2.19</v>
      </c>
      <c r="B19" s="2">
        <v>2.19</v>
      </c>
      <c r="C19" s="5">
        <f t="shared" si="2"/>
        <v>0</v>
      </c>
      <c r="O19" s="8">
        <v>2.19</v>
      </c>
      <c r="P19" s="2">
        <v>1.72</v>
      </c>
      <c r="Q19" s="5">
        <f t="shared" si="3"/>
        <v>-0.47</v>
      </c>
    </row>
    <row r="20" spans="1:17" ht="16.5" thickBot="1">
      <c r="A20" s="8">
        <v>2.19</v>
      </c>
      <c r="B20" s="2">
        <v>2.19</v>
      </c>
      <c r="C20" s="5">
        <f t="shared" si="2"/>
        <v>0</v>
      </c>
      <c r="O20" s="8">
        <v>2.19</v>
      </c>
      <c r="P20" s="2">
        <v>1.88</v>
      </c>
      <c r="Q20" s="5">
        <f t="shared" si="3"/>
        <v>-0.31000000000000005</v>
      </c>
    </row>
    <row r="21" spans="1:17" ht="16.5" thickBot="1">
      <c r="A21" s="8">
        <v>2.19</v>
      </c>
      <c r="B21" s="2">
        <v>2.2000000000000002</v>
      </c>
      <c r="C21" s="5">
        <f t="shared" si="2"/>
        <v>1.0000000000000231E-2</v>
      </c>
      <c r="O21" s="8">
        <v>2.19</v>
      </c>
      <c r="P21" s="2">
        <v>1.92</v>
      </c>
      <c r="Q21" s="5">
        <f t="shared" si="3"/>
        <v>-0.27</v>
      </c>
    </row>
    <row r="22" spans="1:17" ht="16.5" thickBot="1">
      <c r="A22" s="8">
        <v>2.19</v>
      </c>
      <c r="B22" s="2">
        <v>2.21</v>
      </c>
      <c r="C22" s="5">
        <f t="shared" si="2"/>
        <v>2.0000000000000018E-2</v>
      </c>
      <c r="O22" s="8">
        <v>2.19</v>
      </c>
      <c r="P22" s="2">
        <v>2</v>
      </c>
      <c r="Q22" s="5">
        <f t="shared" si="3"/>
        <v>-0.18999999999999995</v>
      </c>
    </row>
    <row r="31" spans="1:17" ht="15.75" thickBot="1"/>
    <row r="32" spans="1:17" ht="16.5" thickBot="1">
      <c r="A32" s="8">
        <v>2.1800000000000002</v>
      </c>
      <c r="B32" s="9">
        <f>-1.23*-1</f>
        <v>1.23</v>
      </c>
      <c r="C32" s="5">
        <f>B32-A32</f>
        <v>-0.95000000000000018</v>
      </c>
      <c r="O32" s="3">
        <v>2.1800000000000002</v>
      </c>
      <c r="P32" s="11">
        <v>-1.08</v>
      </c>
      <c r="Q32" s="5">
        <f>P32-O32</f>
        <v>-3.2600000000000002</v>
      </c>
    </row>
    <row r="33" spans="1:17" ht="16.5" thickBot="1">
      <c r="A33" s="8">
        <v>2.1800000000000002</v>
      </c>
      <c r="B33" s="10">
        <f>-1.88*-1</f>
        <v>1.88</v>
      </c>
      <c r="C33" s="5">
        <f t="shared" ref="C33:C38" si="4">B33-A33</f>
        <v>-0.30000000000000027</v>
      </c>
      <c r="O33" s="3">
        <v>2.1800000000000002</v>
      </c>
      <c r="P33" s="12">
        <v>1.5</v>
      </c>
      <c r="Q33" s="5">
        <f t="shared" ref="Q33:Q38" si="5">P33-O33</f>
        <v>-0.68000000000000016</v>
      </c>
    </row>
    <row r="34" spans="1:17" ht="16.5" thickBot="1">
      <c r="A34" s="8">
        <v>2.1800000000000002</v>
      </c>
      <c r="B34" s="10">
        <f>-3.9*-1</f>
        <v>3.9</v>
      </c>
      <c r="C34" s="5">
        <f t="shared" si="4"/>
        <v>1.7199999999999998</v>
      </c>
      <c r="O34" s="3">
        <v>2.1800000000000002</v>
      </c>
      <c r="P34" s="12">
        <v>2.42</v>
      </c>
      <c r="Q34" s="5">
        <f t="shared" si="5"/>
        <v>0.23999999999999977</v>
      </c>
    </row>
    <row r="35" spans="1:17" ht="16.5" thickBot="1">
      <c r="A35" s="8">
        <v>2.1800000000000002</v>
      </c>
      <c r="B35" s="10">
        <v>1.91</v>
      </c>
      <c r="C35" s="5">
        <f t="shared" si="4"/>
        <v>-0.27000000000000024</v>
      </c>
      <c r="O35" s="4">
        <v>2.19</v>
      </c>
      <c r="P35" s="12">
        <v>2.2999999999999998</v>
      </c>
      <c r="Q35" s="5">
        <f t="shared" si="5"/>
        <v>0.10999999999999988</v>
      </c>
    </row>
    <row r="36" spans="1:17" ht="16.5" thickBot="1">
      <c r="A36" s="8">
        <v>2.19</v>
      </c>
      <c r="B36" s="10">
        <v>1.58</v>
      </c>
      <c r="C36" s="5">
        <f t="shared" si="4"/>
        <v>-0.60999999999999988</v>
      </c>
      <c r="O36" s="4">
        <v>2.19</v>
      </c>
      <c r="P36" s="12">
        <v>2.23</v>
      </c>
      <c r="Q36" s="5">
        <f t="shared" si="5"/>
        <v>4.0000000000000036E-2</v>
      </c>
    </row>
    <row r="37" spans="1:17" ht="16.5" thickBot="1">
      <c r="A37" s="8">
        <v>2.19</v>
      </c>
      <c r="B37" s="10">
        <v>2.0299999999999998</v>
      </c>
      <c r="C37" s="5">
        <f t="shared" si="4"/>
        <v>-0.16000000000000014</v>
      </c>
      <c r="O37" s="4">
        <v>2.19</v>
      </c>
      <c r="P37" s="12">
        <v>2.2000000000000002</v>
      </c>
      <c r="Q37" s="5">
        <f t="shared" si="5"/>
        <v>1.0000000000000231E-2</v>
      </c>
    </row>
    <row r="38" spans="1:17" ht="16.5" thickBot="1">
      <c r="A38" s="8">
        <v>2.19</v>
      </c>
      <c r="B38" s="10">
        <v>2.46</v>
      </c>
      <c r="C38" s="5">
        <f t="shared" si="4"/>
        <v>0.27</v>
      </c>
      <c r="O38" s="4">
        <v>2.19</v>
      </c>
      <c r="P38" s="12">
        <v>2.21</v>
      </c>
      <c r="Q38" s="5">
        <f t="shared" si="5"/>
        <v>2.0000000000000018E-2</v>
      </c>
    </row>
    <row r="46" spans="1:17" ht="15.75" thickBot="1"/>
    <row r="47" spans="1:17" ht="16.5" thickBot="1">
      <c r="A47" s="8">
        <v>2.1800000000000002</v>
      </c>
      <c r="B47" s="1">
        <v>-0.81</v>
      </c>
      <c r="C47" s="5">
        <f>B47-A47</f>
        <v>-2.99</v>
      </c>
      <c r="O47" s="8">
        <v>2.1800000000000002</v>
      </c>
      <c r="P47" s="1">
        <v>-0.79</v>
      </c>
      <c r="Q47" s="5">
        <f>P47-O47</f>
        <v>-2.97</v>
      </c>
    </row>
    <row r="48" spans="1:17" ht="16.5" thickBot="1">
      <c r="A48" s="8">
        <v>2.1800000000000002</v>
      </c>
      <c r="B48" s="2">
        <v>0.98</v>
      </c>
      <c r="C48" s="5">
        <f t="shared" ref="C48:C53" si="6">B48-A48</f>
        <v>-1.2000000000000002</v>
      </c>
      <c r="O48" s="8">
        <v>2.19</v>
      </c>
      <c r="P48" s="2">
        <v>0.97</v>
      </c>
      <c r="Q48" s="5">
        <f t="shared" ref="Q48:Q53" si="7">P48-O48</f>
        <v>-1.22</v>
      </c>
    </row>
    <row r="49" spans="1:17" ht="16.5" thickBot="1">
      <c r="A49" s="8">
        <v>2.19</v>
      </c>
      <c r="B49" s="2">
        <v>1.86</v>
      </c>
      <c r="C49" s="5">
        <f t="shared" si="6"/>
        <v>-0.32999999999999985</v>
      </c>
      <c r="O49" s="8">
        <v>2.19</v>
      </c>
      <c r="P49" s="2">
        <v>1.38</v>
      </c>
      <c r="Q49" s="5">
        <f t="shared" si="7"/>
        <v>-0.81</v>
      </c>
    </row>
    <row r="50" spans="1:17" ht="16.5" thickBot="1">
      <c r="A50" s="8">
        <v>2.19</v>
      </c>
      <c r="B50" s="2">
        <v>2.19</v>
      </c>
      <c r="C50" s="5">
        <f t="shared" si="6"/>
        <v>0</v>
      </c>
      <c r="O50" s="8">
        <v>2.19</v>
      </c>
      <c r="P50" s="2">
        <v>1.76</v>
      </c>
      <c r="Q50" s="5">
        <f t="shared" si="7"/>
        <v>-0.42999999999999994</v>
      </c>
    </row>
    <row r="51" spans="1:17" ht="16.5" thickBot="1">
      <c r="A51" s="8">
        <v>2.19</v>
      </c>
      <c r="B51" s="2">
        <v>2.19</v>
      </c>
      <c r="C51" s="5">
        <f t="shared" si="6"/>
        <v>0</v>
      </c>
      <c r="O51" s="8">
        <v>2.19</v>
      </c>
      <c r="P51" s="2">
        <v>1.87</v>
      </c>
      <c r="Q51" s="5">
        <f t="shared" si="7"/>
        <v>-0.31999999999999984</v>
      </c>
    </row>
    <row r="52" spans="1:17" ht="16.5" thickBot="1">
      <c r="A52" s="8">
        <v>2.19</v>
      </c>
      <c r="B52" s="2">
        <v>2.21</v>
      </c>
      <c r="C52" s="5">
        <f t="shared" si="6"/>
        <v>2.0000000000000018E-2</v>
      </c>
      <c r="O52" s="8">
        <v>2.19</v>
      </c>
      <c r="P52" s="2">
        <v>1.98</v>
      </c>
      <c r="Q52" s="5">
        <f t="shared" si="7"/>
        <v>-0.20999999999999996</v>
      </c>
    </row>
    <row r="53" spans="1:17" ht="16.5" thickBot="1">
      <c r="A53" s="8">
        <v>2.19</v>
      </c>
      <c r="B53" s="2">
        <v>2.21</v>
      </c>
      <c r="C53" s="5">
        <f t="shared" si="6"/>
        <v>2.0000000000000018E-2</v>
      </c>
      <c r="O53" s="8">
        <v>2.19</v>
      </c>
      <c r="P53" s="2">
        <v>2.06</v>
      </c>
      <c r="Q53" s="5">
        <f t="shared" si="7"/>
        <v>-0.12999999999999989</v>
      </c>
    </row>
    <row r="61" spans="1:17" ht="15.75" thickBot="1"/>
    <row r="62" spans="1:17" ht="16.5" thickBot="1">
      <c r="A62" s="13">
        <v>2.1800000000000002</v>
      </c>
      <c r="B62" s="9">
        <v>-0.91</v>
      </c>
      <c r="C62">
        <f>B62-A62</f>
        <v>-3.0900000000000003</v>
      </c>
      <c r="O62" s="13">
        <v>2.1800000000000002</v>
      </c>
      <c r="P62" s="9">
        <v>-1.0900000000000001</v>
      </c>
      <c r="Q62">
        <f>P62-O62</f>
        <v>-3.2700000000000005</v>
      </c>
    </row>
    <row r="63" spans="1:17" ht="16.5" thickBot="1">
      <c r="A63" s="14">
        <v>2.1800000000000002</v>
      </c>
      <c r="B63" s="10">
        <v>1.94</v>
      </c>
      <c r="C63">
        <f t="shared" ref="C63:C68" si="8">B63-A63</f>
        <v>-0.24000000000000021</v>
      </c>
      <c r="O63" s="14">
        <v>2.1800000000000002</v>
      </c>
      <c r="P63" s="12">
        <v>1.98</v>
      </c>
      <c r="Q63">
        <f t="shared" ref="Q63:Q68" si="9">P63-O63</f>
        <v>-0.20000000000000018</v>
      </c>
    </row>
    <row r="64" spans="1:17" ht="16.5" thickBot="1">
      <c r="A64" s="14">
        <v>2.19</v>
      </c>
      <c r="B64" s="10">
        <v>3.9</v>
      </c>
      <c r="C64">
        <f t="shared" si="8"/>
        <v>1.71</v>
      </c>
      <c r="O64" s="14">
        <v>2.1800000000000002</v>
      </c>
      <c r="P64" s="12">
        <v>2.35</v>
      </c>
      <c r="Q64">
        <f t="shared" si="9"/>
        <v>0.16999999999999993</v>
      </c>
    </row>
    <row r="65" spans="1:17" ht="16.5" thickBot="1">
      <c r="A65" s="14">
        <v>2.19</v>
      </c>
      <c r="B65" s="10">
        <v>1.98</v>
      </c>
      <c r="C65">
        <f t="shared" si="8"/>
        <v>-0.20999999999999996</v>
      </c>
      <c r="O65" s="14">
        <v>2.19</v>
      </c>
      <c r="P65" s="10">
        <v>2.29</v>
      </c>
      <c r="Q65">
        <f t="shared" si="9"/>
        <v>0.10000000000000009</v>
      </c>
    </row>
    <row r="66" spans="1:17" ht="16.5" thickBot="1">
      <c r="A66" s="14">
        <v>2.19</v>
      </c>
      <c r="B66" s="10">
        <v>1.58</v>
      </c>
      <c r="C66">
        <f t="shared" si="8"/>
        <v>-0.60999999999999988</v>
      </c>
      <c r="O66" s="14">
        <v>2.19</v>
      </c>
      <c r="P66" s="10">
        <v>2.23</v>
      </c>
      <c r="Q66">
        <f t="shared" si="9"/>
        <v>4.0000000000000036E-2</v>
      </c>
    </row>
    <row r="67" spans="1:17" ht="16.5" thickBot="1">
      <c r="A67" s="14">
        <v>2.19</v>
      </c>
      <c r="B67" s="10">
        <v>1.86</v>
      </c>
      <c r="C67">
        <f t="shared" si="8"/>
        <v>-0.32999999999999985</v>
      </c>
      <c r="O67" s="14">
        <v>2.19</v>
      </c>
      <c r="P67" s="10">
        <v>2.2000000000000002</v>
      </c>
      <c r="Q67">
        <f t="shared" si="9"/>
        <v>1.0000000000000231E-2</v>
      </c>
    </row>
    <row r="68" spans="1:17" ht="16.5" thickBot="1">
      <c r="A68" s="14">
        <v>2.19</v>
      </c>
      <c r="B68" s="10">
        <v>2.96</v>
      </c>
      <c r="C68">
        <f t="shared" si="8"/>
        <v>0.77</v>
      </c>
      <c r="O68" s="14">
        <v>2.19</v>
      </c>
      <c r="P68" s="10">
        <v>2.21</v>
      </c>
      <c r="Q68">
        <f t="shared" si="9"/>
        <v>2.0000000000000018E-2</v>
      </c>
    </row>
    <row r="76" spans="1:17" ht="15.75" thickBot="1"/>
    <row r="77" spans="1:17" ht="16.5" thickBot="1">
      <c r="A77" s="13">
        <v>2.1800000000000002</v>
      </c>
      <c r="B77" s="1">
        <v>-0.92</v>
      </c>
      <c r="C77">
        <f>B77-A77</f>
        <v>-3.1</v>
      </c>
      <c r="O77" s="8">
        <v>2.19</v>
      </c>
      <c r="P77" s="1">
        <v>-0.93</v>
      </c>
      <c r="Q77" s="5">
        <f>P77-O77</f>
        <v>-3.12</v>
      </c>
    </row>
    <row r="78" spans="1:17" ht="16.5" thickBot="1">
      <c r="A78" s="14">
        <v>2.1800000000000002</v>
      </c>
      <c r="B78" s="2">
        <v>1.17</v>
      </c>
      <c r="C78">
        <f t="shared" ref="C78:C83" si="10">B78-A78</f>
        <v>-1.0100000000000002</v>
      </c>
      <c r="O78" s="8">
        <v>2.19</v>
      </c>
      <c r="P78" s="2">
        <v>1.04</v>
      </c>
      <c r="Q78" s="5">
        <f t="shared" ref="Q78:Q83" si="11">P78-O78</f>
        <v>-1.1499999999999999</v>
      </c>
    </row>
    <row r="79" spans="1:17" ht="16.5" thickBot="1">
      <c r="A79" s="14">
        <v>2.1800000000000002</v>
      </c>
      <c r="B79" s="2">
        <v>1.88</v>
      </c>
      <c r="C79">
        <f t="shared" si="10"/>
        <v>-0.30000000000000027</v>
      </c>
      <c r="O79" s="8">
        <v>2.19</v>
      </c>
      <c r="P79" s="2">
        <v>1.96</v>
      </c>
      <c r="Q79" s="5">
        <f t="shared" si="11"/>
        <v>-0.22999999999999998</v>
      </c>
    </row>
    <row r="80" spans="1:17" ht="16.5" thickBot="1">
      <c r="A80" s="14">
        <v>2.19</v>
      </c>
      <c r="B80" s="2">
        <v>2.17</v>
      </c>
      <c r="C80">
        <f t="shared" si="10"/>
        <v>-2.0000000000000018E-2</v>
      </c>
      <c r="O80" s="8">
        <v>2.19</v>
      </c>
      <c r="P80" s="2">
        <v>1.75</v>
      </c>
      <c r="Q80" s="5">
        <f t="shared" si="11"/>
        <v>-0.43999999999999995</v>
      </c>
    </row>
    <row r="81" spans="1:17" ht="16.5" thickBot="1">
      <c r="A81" s="14">
        <v>2.19</v>
      </c>
      <c r="B81" s="2">
        <v>2.2000000000000002</v>
      </c>
      <c r="C81">
        <f t="shared" si="10"/>
        <v>1.0000000000000231E-2</v>
      </c>
      <c r="O81" s="8">
        <v>2.19</v>
      </c>
      <c r="P81" s="2">
        <v>1.88</v>
      </c>
      <c r="Q81" s="5">
        <f t="shared" si="11"/>
        <v>-0.31000000000000005</v>
      </c>
    </row>
    <row r="82" spans="1:17" ht="16.5" thickBot="1">
      <c r="A82" s="14">
        <v>2.19</v>
      </c>
      <c r="B82" s="2">
        <v>2.21</v>
      </c>
      <c r="C82">
        <f t="shared" si="10"/>
        <v>2.0000000000000018E-2</v>
      </c>
      <c r="O82" s="8">
        <v>2.19</v>
      </c>
      <c r="P82" s="2">
        <v>1.95</v>
      </c>
      <c r="Q82" s="5">
        <f t="shared" si="11"/>
        <v>-0.24</v>
      </c>
    </row>
    <row r="83" spans="1:17" ht="16.5" thickBot="1">
      <c r="A83" s="14">
        <v>2.19</v>
      </c>
      <c r="B83" s="2">
        <v>2.21</v>
      </c>
      <c r="C83">
        <f t="shared" si="10"/>
        <v>2.0000000000000018E-2</v>
      </c>
      <c r="O83" s="8">
        <v>2.19</v>
      </c>
      <c r="P83" s="2">
        <v>2.09</v>
      </c>
      <c r="Q83" s="5">
        <f t="shared" si="11"/>
        <v>-0.10000000000000009</v>
      </c>
    </row>
    <row r="93" spans="1:17" ht="33">
      <c r="A93" s="15" t="s">
        <v>0</v>
      </c>
      <c r="B93" s="15" t="s">
        <v>1</v>
      </c>
      <c r="C93" s="15" t="s">
        <v>2</v>
      </c>
    </row>
    <row r="94" spans="1:17" ht="66">
      <c r="A94" s="16" t="s">
        <v>3</v>
      </c>
      <c r="B94" s="17">
        <v>0.4</v>
      </c>
      <c r="C94" s="17">
        <v>12.5</v>
      </c>
    </row>
    <row r="95" spans="1:17" ht="16.5">
      <c r="A95" s="17"/>
      <c r="B95" s="17">
        <v>0.8</v>
      </c>
      <c r="C95" s="17">
        <v>6.3</v>
      </c>
    </row>
    <row r="96" spans="1:17" ht="16.5">
      <c r="A96" s="17"/>
      <c r="B96" s="17">
        <v>1.2</v>
      </c>
      <c r="C96" s="17">
        <v>4.2</v>
      </c>
    </row>
    <row r="97" spans="1:6" ht="49.5">
      <c r="A97" s="16" t="s">
        <v>4</v>
      </c>
      <c r="B97" s="17">
        <v>0.3</v>
      </c>
      <c r="C97" s="17">
        <v>11.8</v>
      </c>
    </row>
    <row r="98" spans="1:6" ht="16.5">
      <c r="A98" s="17"/>
      <c r="B98" s="17">
        <v>0.7</v>
      </c>
      <c r="C98" s="17">
        <v>6.3</v>
      </c>
    </row>
    <row r="99" spans="1:6" ht="16.5">
      <c r="A99" s="17"/>
      <c r="B99" s="17">
        <v>1</v>
      </c>
      <c r="C99" s="17">
        <v>4.5</v>
      </c>
    </row>
    <row r="100" spans="1:6" ht="16.5">
      <c r="A100" s="17"/>
      <c r="B100" s="17">
        <v>2</v>
      </c>
      <c r="C100" s="17">
        <v>3.2</v>
      </c>
    </row>
    <row r="103" spans="1:6" ht="16.5">
      <c r="A103">
        <v>12.5</v>
      </c>
      <c r="B103" s="17">
        <v>0.4</v>
      </c>
      <c r="E103">
        <v>11.8</v>
      </c>
      <c r="F103">
        <v>0.3</v>
      </c>
    </row>
    <row r="104" spans="1:6" ht="16.5">
      <c r="A104">
        <v>6.3</v>
      </c>
      <c r="B104" s="17">
        <v>0.8</v>
      </c>
      <c r="E104">
        <v>6.3</v>
      </c>
      <c r="F104">
        <v>0.7</v>
      </c>
    </row>
    <row r="105" spans="1:6" ht="16.5">
      <c r="A105">
        <v>4.2</v>
      </c>
      <c r="B105" s="17">
        <v>1.2</v>
      </c>
      <c r="E105">
        <v>4.5</v>
      </c>
      <c r="F105">
        <v>1</v>
      </c>
    </row>
    <row r="106" spans="1:6">
      <c r="E106">
        <v>3.2</v>
      </c>
      <c r="F106">
        <v>2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2026-03-30T13:06:17Z</dcterms:modified>
</cp:coreProperties>
</file>